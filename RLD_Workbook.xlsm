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e8638691a33247c/Documents/Important Docs/Excel_VBA_Practice/SampleData/"/>
    </mc:Choice>
  </mc:AlternateContent>
  <xr:revisionPtr revIDLastSave="4224" documentId="8_{B84B4CC7-968B-4DCE-9C85-5D36D9E3AAAD}" xr6:coauthVersionLast="45" xr6:coauthVersionMax="45" xr10:uidLastSave="{E81633D6-61EE-47CE-9978-CEC325A32ED3}"/>
  <bookViews>
    <workbookView xWindow="-120" yWindow="-120" windowWidth="20730" windowHeight="11160" activeTab="2" xr2:uid="{5AB4F9B3-E0C0-47B7-84B3-79926BC6AD7E}"/>
  </bookViews>
  <sheets>
    <sheet name="Instructions" sheetId="1" r:id="rId1"/>
    <sheet name="Invoice" sheetId="2" r:id="rId2"/>
    <sheet name="Incom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F3" i="2" l="1" a="1"/>
  <c r="F3" i="2"/>
  <c r="F4" i="2" a="1"/>
  <c r="F4" i="2"/>
  <c r="F5" i="2" a="1"/>
  <c r="F5" i="2"/>
  <c r="F6" i="2" a="1"/>
  <c r="F6" i="2"/>
  <c r="F7" i="2" a="1"/>
  <c r="F7" i="2"/>
  <c r="F8" i="2" a="1"/>
  <c r="F8" i="2"/>
  <c r="F2" i="2" a="1"/>
  <c r="F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<sst xmlns="http://schemas.openxmlformats.org/spreadsheetml/2006/main" count="292" uniqueCount="56">
  <si>
    <t>Instructions</t>
  </si>
  <si>
    <t>Description</t>
  </si>
  <si>
    <t>Notes</t>
  </si>
  <si>
    <t xml:space="preserve"> Add Taxes to the order (%4 sales tax)</t>
  </si>
  <si>
    <t>If an employee bought a computer over $500</t>
  </si>
  <si>
    <t>Give a discout of 10% off entire order</t>
  </si>
  <si>
    <t xml:space="preserve">All other invoices </t>
  </si>
  <si>
    <t>Multiple by 100%</t>
  </si>
  <si>
    <t xml:space="preserve">Invoice </t>
  </si>
  <si>
    <t>Item</t>
  </si>
  <si>
    <t>Units</t>
  </si>
  <si>
    <t>Unit Cost</t>
  </si>
  <si>
    <t>Total</t>
  </si>
  <si>
    <t>Pencil</t>
  </si>
  <si>
    <t>Computer</t>
  </si>
  <si>
    <t>Chair</t>
  </si>
  <si>
    <t>Printer</t>
  </si>
  <si>
    <t>Binder</t>
  </si>
  <si>
    <t xml:space="preserve">Computer </t>
  </si>
  <si>
    <t>Pen</t>
  </si>
  <si>
    <t xml:space="preserve">Printer </t>
  </si>
  <si>
    <t>Desk</t>
  </si>
  <si>
    <t>Pen Set</t>
  </si>
  <si>
    <t>Paper</t>
  </si>
  <si>
    <t>Notebook</t>
  </si>
  <si>
    <t>OrderDate</t>
  </si>
  <si>
    <t>Invoice</t>
  </si>
  <si>
    <t xml:space="preserve">Region </t>
  </si>
  <si>
    <t>Rep</t>
  </si>
  <si>
    <t>East</t>
  </si>
  <si>
    <t>Jones</t>
  </si>
  <si>
    <t>Central</t>
  </si>
  <si>
    <t>Kivell</t>
  </si>
  <si>
    <t>Jardine</t>
  </si>
  <si>
    <t>Gill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</si>
  <si>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</si>
  <si>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</si>
  <si>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</si>
  <si>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</si>
  <si>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</si>
  <si>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</si>
  <si>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</si>
  <si>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</si>
  <si>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Expensive Comp</t>
  </si>
  <si>
    <t>Yes</t>
  </si>
  <si>
    <t>Before Taxes</t>
  </si>
  <si>
    <t>Input</t>
  </si>
  <si>
    <t>If an Invoice has an Order Date on or after 1/1/2020</t>
  </si>
  <si>
    <t>No</t>
  </si>
  <si>
    <t xml:space="preserve">Your company is moving offices.  Each employee is assigned to purchase their own computers office supplies.  You are in charge of the putting together a report that shows </t>
  </si>
  <si>
    <t>gives a summary of all the employees personal purchases.  To do this, it would be in your best interest to write a VBA macro to calculate the dataset you are given.</t>
  </si>
  <si>
    <t>Total Cost</t>
  </si>
  <si>
    <t>"Total Cost" column is the final output of all individual employee purchases</t>
  </si>
  <si>
    <t xml:space="preserve">"Expensive Comp" column shows which employees bought a computer over $500 </t>
  </si>
  <si>
    <t>"Before Taxes" column shows the total employee costs before the sales tax was taken out</t>
  </si>
  <si>
    <t xml:space="preserve">Highlight the "Total Cost" column in blue.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</si>
</sst>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/d/yy;@"/>
    <numFmt numFmtId="165" formatCode="&quot;$&quot;#,###.##;\(&quot;$&quot;#,###.##\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theme="1"/>
      </left>
      <right/>
      <top style="thin">
        <color indexed="8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9" fontId="2" fillId="0" borderId="0" xfId="2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wrapText="1"/>
    </xf>
    <xf numFmtId="9" fontId="2" fillId="0" borderId="0" xfId="2" applyFont="1" applyAlignment="1"/>
    <xf numFmtId="0" fontId="4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2" borderId="0" xfId="0" applyNumberFormat="1" applyFill="1" applyBorder="1"/>
    <xf numFmtId="165" fontId="0" fillId="0" borderId="0" xfId="0" applyNumberFormat="1" applyBorder="1"/>
    <xf numFmtId="165" fontId="3" fillId="0" borderId="0" xfId="1" applyNumberFormat="1" applyFont="1" applyFill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43" fontId="3" fillId="0" borderId="2" xfId="1" applyFont="1" applyFill="1" applyBorder="1" applyAlignment="1">
      <alignment horizontal="left" vertical="center"/>
    </xf>
    <xf numFmtId="165" fontId="3" fillId="0" borderId="3" xfId="1" applyNumberFormat="1" applyFont="1" applyFill="1" applyBorder="1" applyAlignment="1">
      <alignment vertical="center"/>
    </xf>
    <xf numFmtId="0" fontId="0" fillId="0" borderId="2" xfId="0" applyBorder="1"/>
    <xf numFmtId="164" fontId="3" fillId="0" borderId="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DE749-EACA-4F4A-ACF5-0452F81485EB}">
  <sheetPr codeName="Sheet1"/>
  <dimension ref="A1:F15"/>
  <sheetViews>
    <sheetView workbookViewId="0">
      <selection activeCell="A5" sqref="A5"/>
    </sheetView>
  </sheetViews>
  <sheetFormatPr defaultRowHeight="15" x14ac:dyDescent="0.25"/>
  <cols>
    <col min="1" max="1" width="72.140625" customWidth="1"/>
    <col min="2" max="2" width="41.28515625" bestFit="1" customWidth="1"/>
    <col min="3" max="3" width="34.7109375" bestFit="1" customWidth="1"/>
  </cols>
  <sheetData>
    <row r="1" spans="1:6" x14ac:dyDescent="0.25">
      <c r="A1" s="12" t="s">
        <v>0</v>
      </c>
      <c r="B1" s="12"/>
      <c r="C1" s="12"/>
      <c r="D1" s="11"/>
      <c r="E1" s="11"/>
      <c r="F1" s="5"/>
    </row>
    <row r="2" spans="1:6" x14ac:dyDescent="0.25">
      <c r="A2" s="10" t="s">
        <v>49</v>
      </c>
      <c r="B2" s="10"/>
      <c r="C2" s="10"/>
      <c r="D2" s="1"/>
      <c r="E2" s="1"/>
      <c r="F2" s="5"/>
    </row>
    <row r="3" spans="1:6" x14ac:dyDescent="0.25">
      <c r="A3" s="9" t="s">
        <v>50</v>
      </c>
      <c r="B3" s="9"/>
      <c r="C3" s="9"/>
      <c r="D3" s="3"/>
      <c r="E3" s="3"/>
      <c r="F3" s="2"/>
    </row>
    <row r="4" spans="1:6" x14ac:dyDescent="0.25">
      <c r="A4" s="9" t="s">
        <v>55</v>
      </c>
      <c r="B4" s="9"/>
      <c r="C4" s="9"/>
      <c r="D4" s="3"/>
      <c r="E4" s="3"/>
      <c r="F4" s="2"/>
    </row>
    <row r="5" spans="1:6" x14ac:dyDescent="0.25">
      <c r="D5" s="3"/>
      <c r="E5" s="3"/>
      <c r="F5" s="2"/>
    </row>
    <row r="7" spans="1:6" x14ac:dyDescent="0.25">
      <c r="A7" s="6" t="s">
        <v>1</v>
      </c>
      <c r="B7" s="6" t="s">
        <v>46</v>
      </c>
    </row>
    <row r="8" spans="1:6" x14ac:dyDescent="0.25">
      <c r="A8" s="2" t="s">
        <v>47</v>
      </c>
      <c r="B8" s="3" t="s">
        <v>3</v>
      </c>
    </row>
    <row r="9" spans="1:6" x14ac:dyDescent="0.25">
      <c r="A9" s="2" t="s">
        <v>4</v>
      </c>
      <c r="B9" s="3" t="s">
        <v>5</v>
      </c>
    </row>
    <row r="10" spans="1:6" x14ac:dyDescent="0.25">
      <c r="A10" s="2" t="s">
        <v>6</v>
      </c>
      <c r="B10" s="3" t="s">
        <v>7</v>
      </c>
    </row>
    <row r="12" spans="1:6" x14ac:dyDescent="0.25">
      <c r="A12" s="6" t="s">
        <v>2</v>
      </c>
    </row>
    <row r="13" spans="1:6" x14ac:dyDescent="0.25">
      <c r="A13" s="7" t="s">
        <v>54</v>
      </c>
    </row>
    <row r="14" spans="1:6" x14ac:dyDescent="0.25">
      <c r="A14" s="7" t="s">
        <v>53</v>
      </c>
    </row>
    <row r="15" spans="1:6" x14ac:dyDescent="0.25">
      <c r="A15" t="s">
        <v>52</v>
      </c>
    </row>
  </sheetData>
  <mergeCells count="5">
    <mergeCell ref="F1:F2"/>
    <mergeCell ref="A2:C2"/>
    <mergeCell ref="A3:C3"/>
    <mergeCell ref="A4:C4"/>
    <mergeCell ref="A1:C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715DD-7755-422D-A863-B9D36A81F86C}">
  <sheetPr codeName="Sheet2"/>
  <dimension ref="A1:G136"/>
  <sheetViews>
    <sheetView workbookViewId="0">
      <selection activeCell="E6" sqref="E6"/>
    </sheetView>
  </sheetViews>
  <sheetFormatPr defaultRowHeight="15" x14ac:dyDescent="0.25"/>
  <sheetData>
    <row r="1" spans="1:7" x14ac:dyDescent="0.25">
      <c r="A1" s="8" t="s">
        <v>8</v>
      </c>
      <c r="B1" s="15" t="s">
        <v>9</v>
      </c>
      <c r="C1" s="15" t="s">
        <v>10</v>
      </c>
      <c r="D1" s="15" t="s">
        <v>11</v>
      </c>
      <c r="E1" s="16" t="s">
        <v>12</v>
      </c>
      <c r="F1" s="13"/>
      <c r="G1" s="13"/>
    </row>
    <row r="2" spans="1:7" x14ac:dyDescent="0.25">
      <c r="A2" s="4">
        <v>473394</v>
      </c>
      <c r="B2" s="20" t="s">
        <v>13</v>
      </c>
      <c r="C2" s="21">
        <v>95</v>
      </c>
      <c r="D2" s="22">
        <v>1.99</v>
      </c>
      <c r="E2" s="23">
        <f t="shared" ref="E2:E33" si="0">SUMPRODUCT(--($A$2:$A$136 = A2), $C$2:$C$136 * $D$2:$D$136)</f>
        <v>762.31999999999994</v>
      </c>
      <c r="F2" s="19" t="str" cm="1">
        <f t="array" ref="F2">IF(D2&gt;499.99, SUMPRODUCT(--($A$2:$A$136 = A2), $C$2:$C$136 * $D$2:$D$136 * 0.9), "")</f>
        <v/>
      </c>
      <c r="G2" s="13"/>
    </row>
    <row r="3" spans="1:7" x14ac:dyDescent="0.25">
      <c r="A3" s="4">
        <v>473394</v>
      </c>
      <c r="B3" s="24" t="s">
        <v>14</v>
      </c>
      <c r="C3" s="24">
        <v>1</v>
      </c>
      <c r="D3" s="24">
        <v>367.99</v>
      </c>
      <c r="E3" s="23">
        <f t="shared" si="0"/>
        <v>762.31999999999994</v>
      </c>
      <c r="F3" s="19" t="str" cm="1">
        <f t="array" ref="F3">IF(D3&gt;499.99, SUMPRODUCT(--($A$2:$A$136 = A3), $C$2:$C$136 * $D$2:$D$136 * 0.9), "")</f>
        <v/>
      </c>
      <c r="G3" s="13"/>
    </row>
    <row r="4" spans="1:7" x14ac:dyDescent="0.25">
      <c r="A4" s="4">
        <v>473394</v>
      </c>
      <c r="B4" s="24" t="s">
        <v>15</v>
      </c>
      <c r="C4" s="24">
        <v>1</v>
      </c>
      <c r="D4" s="24">
        <v>95.29</v>
      </c>
      <c r="E4" s="23">
        <f t="shared" si="0"/>
        <v>762.31999999999994</v>
      </c>
      <c r="F4" s="19" t="str" cm="1">
        <f t="array" ref="F4">IF(D4&gt;499.99, SUMPRODUCT(--($A$2:$A$136 = A4), $C$2:$C$136 * $D$2:$D$136 * 0.9), "")</f>
        <v/>
      </c>
      <c r="G4" s="13"/>
    </row>
    <row r="5" spans="1:7" x14ac:dyDescent="0.25">
      <c r="A5" s="4">
        <v>473394</v>
      </c>
      <c r="B5" s="24" t="s">
        <v>16</v>
      </c>
      <c r="C5" s="24">
        <v>1</v>
      </c>
      <c r="D5" s="24">
        <v>109.99</v>
      </c>
      <c r="E5" s="23">
        <f t="shared" si="0"/>
        <v>762.31999999999994</v>
      </c>
      <c r="F5" s="19" t="str" cm="1">
        <f t="array" ref="F5">IF(D5&gt;499.99, SUMPRODUCT(--($A$2:$A$136 = A5), $C$2:$C$136 * $D$2:$D$136 * 0.9), "")</f>
        <v/>
      </c>
      <c r="G5" s="13"/>
    </row>
    <row r="6" spans="1:7" x14ac:dyDescent="0.25">
      <c r="A6" s="4">
        <v>485945</v>
      </c>
      <c r="B6" s="20" t="s">
        <v>17</v>
      </c>
      <c r="C6" s="21">
        <v>50</v>
      </c>
      <c r="D6" s="22">
        <v>19.989999999999998</v>
      </c>
      <c r="E6" s="23">
        <f t="shared" si="0"/>
        <v>1474.4799999999998</v>
      </c>
      <c r="F6" s="19" t="str" cm="1">
        <f t="array" ref="F6">IF(D6&gt;499.99, SUMPRODUCT(--($A$2:$A$136 = A6), $C$2:$C$136 * $D$2:$D$136 * 0.9), "")</f>
        <v/>
      </c>
      <c r="G6" s="13"/>
    </row>
    <row r="7" spans="1:7" x14ac:dyDescent="0.25">
      <c r="A7" s="4">
        <v>485945</v>
      </c>
      <c r="B7" s="24" t="s">
        <v>14</v>
      </c>
      <c r="C7" s="24">
        <v>1</v>
      </c>
      <c r="D7" s="24">
        <v>399.99</v>
      </c>
      <c r="E7" s="23">
        <f t="shared" si="0"/>
        <v>1474.4799999999998</v>
      </c>
      <c r="F7" s="19" t="str" cm="1">
        <f t="array" ref="F7">IF(D7&gt;499.99, SUMPRODUCT(--($A$2:$A$136 = A7), $C$2:$C$136 * $D$2:$D$136 * 0.9), "")</f>
        <v/>
      </c>
      <c r="G7" s="13"/>
    </row>
    <row r="8" spans="1:7" x14ac:dyDescent="0.25">
      <c r="A8" s="4">
        <v>485945</v>
      </c>
      <c r="B8" s="24" t="s">
        <v>15</v>
      </c>
      <c r="C8" s="24">
        <v>1</v>
      </c>
      <c r="D8" s="24">
        <v>74.989999999999995</v>
      </c>
      <c r="E8" s="23">
        <f t="shared" si="0"/>
        <v>1474.4799999999998</v>
      </c>
      <c r="F8" s="19" t="str" cm="1">
        <f t="array" ref="F8">IF(D8&gt;499.99, SUMPRODUCT(--($A$2:$A$136 = A8), $C$2:$C$136 * $D$2:$D$136 * 0.9), "")</f>
        <v/>
      </c>
      <c r="G8" s="13"/>
    </row>
    <row r="9" spans="1:7" x14ac:dyDescent="0.25">
      <c r="A9" s="4">
        <v>488763</v>
      </c>
      <c r="B9" s="20" t="s">
        <v>13</v>
      </c>
      <c r="C9" s="21">
        <v>36</v>
      </c>
      <c r="D9" s="22">
        <v>4.99</v>
      </c>
      <c r="E9" s="23">
        <f t="shared" si="0"/>
        <v>861.62</v>
      </c>
      <c r="F9" s="19"/>
      <c r="G9" s="13"/>
    </row>
    <row r="10" spans="1:7" x14ac:dyDescent="0.25">
      <c r="A10" s="4">
        <v>488763</v>
      </c>
      <c r="B10" s="24" t="s">
        <v>18</v>
      </c>
      <c r="C10" s="24">
        <v>1</v>
      </c>
      <c r="D10" s="24">
        <v>591.99</v>
      </c>
      <c r="E10" s="23">
        <f t="shared" si="0"/>
        <v>861.62</v>
      </c>
      <c r="F10" s="19"/>
      <c r="G10" s="13"/>
    </row>
    <row r="11" spans="1:7" x14ac:dyDescent="0.25">
      <c r="A11" s="4">
        <v>488763</v>
      </c>
      <c r="B11" s="24" t="s">
        <v>15</v>
      </c>
      <c r="C11" s="24">
        <v>1</v>
      </c>
      <c r="D11" s="24">
        <v>89.99</v>
      </c>
      <c r="E11" s="23">
        <f t="shared" si="0"/>
        <v>861.62</v>
      </c>
      <c r="F11" s="19"/>
      <c r="G11" s="13"/>
    </row>
    <row r="12" spans="1:7" x14ac:dyDescent="0.25">
      <c r="A12" s="4">
        <v>491645</v>
      </c>
      <c r="B12" s="20" t="s">
        <v>19</v>
      </c>
      <c r="C12" s="21">
        <v>27</v>
      </c>
      <c r="D12" s="22">
        <v>19.989999999999998</v>
      </c>
      <c r="E12" s="23">
        <f t="shared" si="0"/>
        <v>934.70999999999992</v>
      </c>
      <c r="F12" s="19"/>
      <c r="G12" s="13"/>
    </row>
    <row r="13" spans="1:7" x14ac:dyDescent="0.25">
      <c r="A13" s="4">
        <v>491645</v>
      </c>
      <c r="B13" s="24" t="s">
        <v>18</v>
      </c>
      <c r="C13" s="24">
        <v>1</v>
      </c>
      <c r="D13" s="24">
        <v>329.99</v>
      </c>
      <c r="E13" s="23">
        <f t="shared" si="0"/>
        <v>934.70999999999992</v>
      </c>
      <c r="F13" s="19"/>
      <c r="G13" s="13"/>
    </row>
    <row r="14" spans="1:7" x14ac:dyDescent="0.25">
      <c r="A14" s="4">
        <v>491645</v>
      </c>
      <c r="B14" s="24" t="s">
        <v>15</v>
      </c>
      <c r="C14" s="24">
        <v>1</v>
      </c>
      <c r="D14" s="24">
        <v>64.989999999999995</v>
      </c>
      <c r="E14" s="23">
        <f t="shared" si="0"/>
        <v>934.70999999999992</v>
      </c>
      <c r="F14" s="19"/>
      <c r="G14" s="13"/>
    </row>
    <row r="15" spans="1:7" x14ac:dyDescent="0.25">
      <c r="A15" s="4">
        <v>492345</v>
      </c>
      <c r="B15" s="20" t="s">
        <v>13</v>
      </c>
      <c r="C15" s="21">
        <v>56</v>
      </c>
      <c r="D15" s="22">
        <v>2.99</v>
      </c>
      <c r="E15" s="23">
        <f t="shared" si="0"/>
        <v>1037.42</v>
      </c>
      <c r="F15" s="19"/>
      <c r="G15" s="13"/>
    </row>
    <row r="16" spans="1:7" x14ac:dyDescent="0.25">
      <c r="A16" s="4">
        <v>492345</v>
      </c>
      <c r="B16" s="24" t="s">
        <v>18</v>
      </c>
      <c r="C16" s="24">
        <v>1</v>
      </c>
      <c r="D16" s="24">
        <v>759.99</v>
      </c>
      <c r="E16" s="23">
        <f t="shared" si="0"/>
        <v>1037.42</v>
      </c>
      <c r="F16" s="19"/>
      <c r="G16" s="13"/>
    </row>
    <row r="17" spans="1:7" x14ac:dyDescent="0.25">
      <c r="A17" s="4">
        <v>492345</v>
      </c>
      <c r="B17" s="24" t="s">
        <v>15</v>
      </c>
      <c r="C17" s="24">
        <v>1</v>
      </c>
      <c r="D17" s="24">
        <v>109.99</v>
      </c>
      <c r="E17" s="23">
        <f t="shared" si="0"/>
        <v>1037.42</v>
      </c>
      <c r="F17" s="19"/>
      <c r="G17" s="13"/>
    </row>
    <row r="18" spans="1:7" x14ac:dyDescent="0.25">
      <c r="A18" s="4">
        <v>493569</v>
      </c>
      <c r="B18" s="20" t="s">
        <v>17</v>
      </c>
      <c r="C18" s="21">
        <v>60</v>
      </c>
      <c r="D18" s="22">
        <v>4.99</v>
      </c>
      <c r="E18" s="23">
        <f t="shared" si="0"/>
        <v>737.38000000000011</v>
      </c>
      <c r="F18" s="19"/>
      <c r="G18" s="13"/>
    </row>
    <row r="19" spans="1:7" x14ac:dyDescent="0.25">
      <c r="A19" s="4">
        <v>493569</v>
      </c>
      <c r="B19" s="24" t="s">
        <v>18</v>
      </c>
      <c r="C19" s="24">
        <v>1</v>
      </c>
      <c r="D19" s="24">
        <v>367.99</v>
      </c>
      <c r="E19" s="23">
        <f t="shared" si="0"/>
        <v>737.38000000000011</v>
      </c>
      <c r="F19" s="19"/>
      <c r="G19" s="13"/>
    </row>
    <row r="20" spans="1:7" x14ac:dyDescent="0.25">
      <c r="A20" s="4">
        <v>493569</v>
      </c>
      <c r="B20" s="24" t="s">
        <v>15</v>
      </c>
      <c r="C20" s="24">
        <v>1</v>
      </c>
      <c r="D20" s="24">
        <v>69.989999999999995</v>
      </c>
      <c r="E20" s="23">
        <f t="shared" si="0"/>
        <v>737.38000000000011</v>
      </c>
      <c r="F20" s="19"/>
      <c r="G20" s="13"/>
    </row>
    <row r="21" spans="1:7" x14ac:dyDescent="0.25">
      <c r="A21" s="4">
        <v>495668</v>
      </c>
      <c r="B21" s="20" t="s">
        <v>13</v>
      </c>
      <c r="C21" s="21">
        <v>75</v>
      </c>
      <c r="D21" s="22">
        <v>1.99</v>
      </c>
      <c r="E21" s="23">
        <f t="shared" si="0"/>
        <v>1419.23</v>
      </c>
      <c r="F21" s="19"/>
      <c r="G21" s="13"/>
    </row>
    <row r="22" spans="1:7" x14ac:dyDescent="0.25">
      <c r="A22" s="4">
        <v>495668</v>
      </c>
      <c r="B22" s="24" t="s">
        <v>18</v>
      </c>
      <c r="C22" s="24">
        <v>1</v>
      </c>
      <c r="D22" s="24">
        <v>1099.99</v>
      </c>
      <c r="E22" s="23">
        <f t="shared" si="0"/>
        <v>1419.23</v>
      </c>
      <c r="F22" s="19"/>
      <c r="G22" s="13"/>
    </row>
    <row r="23" spans="1:7" x14ac:dyDescent="0.25">
      <c r="A23" s="4">
        <v>495668</v>
      </c>
      <c r="B23" s="24" t="s">
        <v>15</v>
      </c>
      <c r="C23" s="24">
        <v>1</v>
      </c>
      <c r="D23" s="24">
        <v>169.99</v>
      </c>
      <c r="E23" s="23">
        <f t="shared" si="0"/>
        <v>1419.23</v>
      </c>
      <c r="F23" s="19"/>
      <c r="G23" s="13"/>
    </row>
    <row r="24" spans="1:7" x14ac:dyDescent="0.25">
      <c r="A24" s="4">
        <v>497499</v>
      </c>
      <c r="B24" s="20" t="s">
        <v>13</v>
      </c>
      <c r="C24" s="21">
        <v>90</v>
      </c>
      <c r="D24" s="22">
        <v>4.99</v>
      </c>
      <c r="E24" s="23">
        <f t="shared" si="0"/>
        <v>981.08</v>
      </c>
      <c r="F24" s="19"/>
      <c r="G24" s="13"/>
    </row>
    <row r="25" spans="1:7" x14ac:dyDescent="0.25">
      <c r="A25" s="4">
        <v>497499</v>
      </c>
      <c r="B25" s="24" t="s">
        <v>18</v>
      </c>
      <c r="C25" s="24">
        <v>1</v>
      </c>
      <c r="D25" s="24">
        <v>469.99</v>
      </c>
      <c r="E25" s="23">
        <f t="shared" si="0"/>
        <v>981.08</v>
      </c>
      <c r="F25" s="19"/>
      <c r="G25" s="13"/>
    </row>
    <row r="26" spans="1:7" x14ac:dyDescent="0.25">
      <c r="A26" s="4">
        <v>497499</v>
      </c>
      <c r="B26" s="24" t="s">
        <v>15</v>
      </c>
      <c r="C26" s="24">
        <v>1</v>
      </c>
      <c r="D26" s="24">
        <v>61.99</v>
      </c>
      <c r="E26" s="23">
        <f t="shared" si="0"/>
        <v>981.08</v>
      </c>
      <c r="F26" s="19"/>
      <c r="G26" s="13"/>
    </row>
    <row r="27" spans="1:7" x14ac:dyDescent="0.25">
      <c r="A27" s="4">
        <v>498732</v>
      </c>
      <c r="B27" s="20" t="s">
        <v>13</v>
      </c>
      <c r="C27" s="21">
        <v>32</v>
      </c>
      <c r="D27" s="22">
        <v>1.99</v>
      </c>
      <c r="E27" s="23">
        <f t="shared" si="0"/>
        <v>349.61</v>
      </c>
      <c r="F27" s="19"/>
      <c r="G27" s="13"/>
    </row>
    <row r="28" spans="1:7" x14ac:dyDescent="0.25">
      <c r="A28" s="4">
        <v>498732</v>
      </c>
      <c r="B28" s="24" t="s">
        <v>18</v>
      </c>
      <c r="C28" s="24">
        <v>1</v>
      </c>
      <c r="D28" s="24">
        <v>135.99</v>
      </c>
      <c r="E28" s="23">
        <f t="shared" si="0"/>
        <v>349.61</v>
      </c>
      <c r="F28" s="19"/>
      <c r="G28" s="13"/>
    </row>
    <row r="29" spans="1:7" x14ac:dyDescent="0.25">
      <c r="A29" s="4">
        <v>498732</v>
      </c>
      <c r="B29" s="24" t="s">
        <v>15</v>
      </c>
      <c r="C29" s="24">
        <v>1</v>
      </c>
      <c r="D29" s="24">
        <v>89.99</v>
      </c>
      <c r="E29" s="23">
        <f t="shared" si="0"/>
        <v>349.61</v>
      </c>
      <c r="F29" s="19"/>
      <c r="G29" s="13"/>
    </row>
    <row r="30" spans="1:7" x14ac:dyDescent="0.25">
      <c r="A30" s="4">
        <v>498732</v>
      </c>
      <c r="B30" s="24" t="s">
        <v>16</v>
      </c>
      <c r="C30" s="24">
        <v>1</v>
      </c>
      <c r="D30" s="24">
        <v>59.95</v>
      </c>
      <c r="E30" s="23">
        <f t="shared" si="0"/>
        <v>349.61</v>
      </c>
      <c r="F30" s="19"/>
      <c r="G30" s="13"/>
    </row>
    <row r="31" spans="1:7" x14ac:dyDescent="0.25">
      <c r="A31" s="4">
        <v>507986</v>
      </c>
      <c r="B31" s="20" t="s">
        <v>17</v>
      </c>
      <c r="C31" s="21">
        <v>60</v>
      </c>
      <c r="D31" s="22">
        <v>8.99</v>
      </c>
      <c r="E31" s="23">
        <f t="shared" si="0"/>
        <v>955.38</v>
      </c>
      <c r="F31" s="19"/>
      <c r="G31" s="13"/>
    </row>
    <row r="32" spans="1:7" x14ac:dyDescent="0.25">
      <c r="A32" s="4">
        <v>507986</v>
      </c>
      <c r="B32" s="24" t="s">
        <v>18</v>
      </c>
      <c r="C32" s="24">
        <v>1</v>
      </c>
      <c r="D32" s="24">
        <v>275.99</v>
      </c>
      <c r="E32" s="23">
        <f t="shared" si="0"/>
        <v>955.38</v>
      </c>
      <c r="F32" s="19"/>
      <c r="G32" s="13"/>
    </row>
    <row r="33" spans="1:7" x14ac:dyDescent="0.25">
      <c r="A33" s="4">
        <v>507986</v>
      </c>
      <c r="B33" s="24" t="s">
        <v>15</v>
      </c>
      <c r="C33" s="24">
        <v>1</v>
      </c>
      <c r="D33" s="24">
        <v>139.99</v>
      </c>
      <c r="E33" s="23">
        <f t="shared" si="0"/>
        <v>955.38</v>
      </c>
      <c r="F33" s="19"/>
      <c r="G33" s="13"/>
    </row>
    <row r="34" spans="1:7" x14ac:dyDescent="0.25">
      <c r="A34" s="4">
        <v>509721</v>
      </c>
      <c r="B34" s="20" t="s">
        <v>13</v>
      </c>
      <c r="C34" s="21">
        <v>90</v>
      </c>
      <c r="D34" s="22">
        <v>4.99</v>
      </c>
      <c r="E34" s="23">
        <f t="shared" ref="E34:E65" si="1">SUMPRODUCT(--($A$2:$A$136 = A34), $C$2:$C$136 * $D$2:$D$136)</f>
        <v>1366.0800000000002</v>
      </c>
      <c r="F34" s="19"/>
      <c r="G34" s="13"/>
    </row>
    <row r="35" spans="1:7" x14ac:dyDescent="0.25">
      <c r="A35" s="4">
        <v>509721</v>
      </c>
      <c r="B35" s="24" t="s">
        <v>18</v>
      </c>
      <c r="C35" s="24">
        <v>1</v>
      </c>
      <c r="D35" s="24">
        <v>849.99</v>
      </c>
      <c r="E35" s="23">
        <f t="shared" si="1"/>
        <v>1366.0800000000002</v>
      </c>
      <c r="F35" s="19"/>
      <c r="G35" s="13"/>
    </row>
    <row r="36" spans="1:7" x14ac:dyDescent="0.25">
      <c r="A36" s="4">
        <v>509721</v>
      </c>
      <c r="B36" s="24" t="s">
        <v>15</v>
      </c>
      <c r="C36" s="24">
        <v>1</v>
      </c>
      <c r="D36" s="24">
        <v>66.989999999999995</v>
      </c>
      <c r="E36" s="23">
        <f t="shared" si="1"/>
        <v>1366.0800000000002</v>
      </c>
      <c r="F36" s="19"/>
      <c r="G36" s="13"/>
    </row>
    <row r="37" spans="1:7" x14ac:dyDescent="0.25">
      <c r="A37" s="4">
        <v>511375</v>
      </c>
      <c r="B37" s="20" t="s">
        <v>17</v>
      </c>
      <c r="C37" s="21">
        <v>29</v>
      </c>
      <c r="D37" s="22">
        <v>1.99</v>
      </c>
      <c r="E37" s="23">
        <f t="shared" si="1"/>
        <v>542.68999999999994</v>
      </c>
      <c r="F37" s="19"/>
      <c r="G37" s="13"/>
    </row>
    <row r="38" spans="1:7" x14ac:dyDescent="0.25">
      <c r="A38" s="4">
        <v>511375</v>
      </c>
      <c r="B38" s="24" t="s">
        <v>18</v>
      </c>
      <c r="C38" s="24">
        <v>1</v>
      </c>
      <c r="D38" s="24">
        <v>394.99</v>
      </c>
      <c r="E38" s="23">
        <f t="shared" si="1"/>
        <v>542.68999999999994</v>
      </c>
      <c r="F38" s="19"/>
      <c r="G38" s="13"/>
    </row>
    <row r="39" spans="1:7" x14ac:dyDescent="0.25">
      <c r="A39" s="4">
        <v>511375</v>
      </c>
      <c r="B39" s="24" t="s">
        <v>15</v>
      </c>
      <c r="C39" s="24">
        <v>1</v>
      </c>
      <c r="D39" s="24">
        <v>89.99</v>
      </c>
      <c r="E39" s="23">
        <f t="shared" si="1"/>
        <v>542.68999999999994</v>
      </c>
      <c r="F39" s="19"/>
      <c r="G39" s="13"/>
    </row>
    <row r="40" spans="1:7" x14ac:dyDescent="0.25">
      <c r="A40" s="4">
        <v>512658</v>
      </c>
      <c r="B40" s="20" t="s">
        <v>17</v>
      </c>
      <c r="C40" s="21">
        <v>81</v>
      </c>
      <c r="D40" s="22">
        <v>19.989999999999998</v>
      </c>
      <c r="E40" s="23">
        <f t="shared" si="1"/>
        <v>2299.16</v>
      </c>
      <c r="F40" s="19"/>
      <c r="G40" s="13"/>
    </row>
    <row r="41" spans="1:7" x14ac:dyDescent="0.25">
      <c r="A41" s="4">
        <v>512658</v>
      </c>
      <c r="B41" s="24" t="s">
        <v>18</v>
      </c>
      <c r="C41" s="24">
        <v>1</v>
      </c>
      <c r="D41" s="24">
        <v>449.99</v>
      </c>
      <c r="E41" s="23">
        <f t="shared" si="1"/>
        <v>2299.16</v>
      </c>
      <c r="F41" s="19"/>
      <c r="G41" s="13"/>
    </row>
    <row r="42" spans="1:7" x14ac:dyDescent="0.25">
      <c r="A42" s="4">
        <v>512658</v>
      </c>
      <c r="B42" s="24" t="s">
        <v>15</v>
      </c>
      <c r="C42" s="24">
        <v>1</v>
      </c>
      <c r="D42" s="24">
        <v>149.99</v>
      </c>
      <c r="E42" s="23">
        <f t="shared" si="1"/>
        <v>2299.16</v>
      </c>
      <c r="F42" s="19"/>
      <c r="G42" s="13"/>
    </row>
    <row r="43" spans="1:7" x14ac:dyDescent="0.25">
      <c r="A43" s="4">
        <v>512658</v>
      </c>
      <c r="B43" s="24" t="s">
        <v>20</v>
      </c>
      <c r="C43" s="24">
        <v>1</v>
      </c>
      <c r="D43" s="24">
        <v>79.989999999999995</v>
      </c>
      <c r="E43" s="23">
        <f t="shared" si="1"/>
        <v>2299.16</v>
      </c>
      <c r="F43" s="19"/>
      <c r="G43" s="13"/>
    </row>
    <row r="44" spans="1:7" x14ac:dyDescent="0.25">
      <c r="A44" s="4">
        <v>514436</v>
      </c>
      <c r="B44" s="20" t="s">
        <v>13</v>
      </c>
      <c r="C44" s="21">
        <v>35</v>
      </c>
      <c r="D44" s="22">
        <v>4.99</v>
      </c>
      <c r="E44" s="23">
        <f t="shared" si="1"/>
        <v>836.53</v>
      </c>
      <c r="F44" s="19"/>
      <c r="G44" s="13"/>
    </row>
    <row r="45" spans="1:7" x14ac:dyDescent="0.25">
      <c r="A45" s="4">
        <v>514436</v>
      </c>
      <c r="B45" s="24" t="s">
        <v>18</v>
      </c>
      <c r="C45" s="24">
        <v>1</v>
      </c>
      <c r="D45" s="24">
        <v>599.99</v>
      </c>
      <c r="E45" s="23">
        <f t="shared" si="1"/>
        <v>836.53</v>
      </c>
      <c r="F45" s="19"/>
      <c r="G45" s="13"/>
    </row>
    <row r="46" spans="1:7" x14ac:dyDescent="0.25">
      <c r="A46" s="4">
        <v>514436</v>
      </c>
      <c r="B46" s="24" t="s">
        <v>15</v>
      </c>
      <c r="C46" s="24">
        <v>1</v>
      </c>
      <c r="D46" s="24">
        <v>61.89</v>
      </c>
      <c r="E46" s="23">
        <f t="shared" si="1"/>
        <v>836.53</v>
      </c>
      <c r="F46" s="19"/>
      <c r="G46" s="13"/>
    </row>
    <row r="47" spans="1:7" x14ac:dyDescent="0.25">
      <c r="A47" s="4">
        <v>516853</v>
      </c>
      <c r="B47" s="20" t="s">
        <v>21</v>
      </c>
      <c r="C47" s="21">
        <v>2</v>
      </c>
      <c r="D47" s="22">
        <v>125</v>
      </c>
      <c r="E47" s="23">
        <f t="shared" si="1"/>
        <v>710.98</v>
      </c>
      <c r="F47" s="19"/>
      <c r="G47" s="13"/>
    </row>
    <row r="48" spans="1:7" x14ac:dyDescent="0.25">
      <c r="A48" s="4">
        <v>516853</v>
      </c>
      <c r="B48" s="24" t="s">
        <v>18</v>
      </c>
      <c r="C48" s="24">
        <v>1</v>
      </c>
      <c r="D48" s="24">
        <v>380.99</v>
      </c>
      <c r="E48" s="23">
        <f t="shared" si="1"/>
        <v>710.98</v>
      </c>
      <c r="F48" s="19"/>
      <c r="G48" s="13"/>
    </row>
    <row r="49" spans="1:7" x14ac:dyDescent="0.25">
      <c r="A49" s="4">
        <v>516853</v>
      </c>
      <c r="B49" s="24" t="s">
        <v>15</v>
      </c>
      <c r="C49" s="24">
        <v>1</v>
      </c>
      <c r="D49" s="24">
        <v>79.989999999999995</v>
      </c>
      <c r="E49" s="23">
        <f t="shared" si="1"/>
        <v>710.98</v>
      </c>
      <c r="F49" s="19"/>
      <c r="G49" s="13"/>
    </row>
    <row r="50" spans="1:7" x14ac:dyDescent="0.25">
      <c r="A50" s="4">
        <v>518737</v>
      </c>
      <c r="B50" s="20" t="s">
        <v>22</v>
      </c>
      <c r="C50" s="21">
        <v>16</v>
      </c>
      <c r="D50" s="22">
        <v>15.99</v>
      </c>
      <c r="E50" s="23">
        <f t="shared" si="1"/>
        <v>732.68</v>
      </c>
      <c r="F50" s="19"/>
      <c r="G50" s="13"/>
    </row>
    <row r="51" spans="1:7" x14ac:dyDescent="0.25">
      <c r="A51" s="4">
        <v>518737</v>
      </c>
      <c r="B51" s="24" t="s">
        <v>18</v>
      </c>
      <c r="C51" s="24">
        <v>1</v>
      </c>
      <c r="D51" s="24">
        <v>376.84</v>
      </c>
      <c r="E51" s="23">
        <f t="shared" si="1"/>
        <v>732.68</v>
      </c>
      <c r="F51" s="19"/>
      <c r="G51" s="13"/>
    </row>
    <row r="52" spans="1:7" x14ac:dyDescent="0.25">
      <c r="A52" s="4">
        <v>518737</v>
      </c>
      <c r="B52" s="24" t="s">
        <v>15</v>
      </c>
      <c r="C52" s="24">
        <v>1</v>
      </c>
      <c r="D52" s="24">
        <v>100</v>
      </c>
      <c r="E52" s="23">
        <f t="shared" si="1"/>
        <v>732.68</v>
      </c>
      <c r="F52" s="19"/>
      <c r="G52" s="13"/>
    </row>
    <row r="53" spans="1:7" x14ac:dyDescent="0.25">
      <c r="A53" s="4">
        <v>519805</v>
      </c>
      <c r="B53" s="20" t="s">
        <v>17</v>
      </c>
      <c r="C53" s="21">
        <v>28</v>
      </c>
      <c r="D53" s="22">
        <v>8.99</v>
      </c>
      <c r="E53" s="23">
        <f t="shared" si="1"/>
        <v>654.70000000000005</v>
      </c>
      <c r="F53" s="19"/>
      <c r="G53" s="13"/>
    </row>
    <row r="54" spans="1:7" x14ac:dyDescent="0.25">
      <c r="A54" s="4">
        <v>519805</v>
      </c>
      <c r="B54" s="24" t="s">
        <v>18</v>
      </c>
      <c r="C54" s="24">
        <v>1</v>
      </c>
      <c r="D54" s="24">
        <v>349.99</v>
      </c>
      <c r="E54" s="23">
        <f t="shared" si="1"/>
        <v>654.70000000000005</v>
      </c>
      <c r="F54" s="19"/>
      <c r="G54" s="13"/>
    </row>
    <row r="55" spans="1:7" x14ac:dyDescent="0.25">
      <c r="A55" s="4">
        <v>519805</v>
      </c>
      <c r="B55" s="24" t="s">
        <v>15</v>
      </c>
      <c r="C55" s="24">
        <v>1</v>
      </c>
      <c r="D55" s="24">
        <v>52.99</v>
      </c>
      <c r="E55" s="23">
        <f t="shared" si="1"/>
        <v>654.70000000000005</v>
      </c>
      <c r="F55" s="19"/>
      <c r="G55" s="13"/>
    </row>
    <row r="56" spans="1:7" x14ac:dyDescent="0.25">
      <c r="A56" s="4">
        <v>520785</v>
      </c>
      <c r="B56" s="20" t="s">
        <v>19</v>
      </c>
      <c r="C56" s="21">
        <v>64</v>
      </c>
      <c r="D56" s="22">
        <v>8.99</v>
      </c>
      <c r="E56" s="23">
        <f t="shared" si="1"/>
        <v>1450.34</v>
      </c>
      <c r="F56" s="19"/>
      <c r="G56" s="13"/>
    </row>
    <row r="57" spans="1:7" x14ac:dyDescent="0.25">
      <c r="A57" s="4">
        <v>520785</v>
      </c>
      <c r="B57" s="24" t="s">
        <v>18</v>
      </c>
      <c r="C57" s="24">
        <v>1</v>
      </c>
      <c r="D57" s="24">
        <v>799.99</v>
      </c>
      <c r="E57" s="23">
        <f t="shared" si="1"/>
        <v>1450.34</v>
      </c>
      <c r="F57" s="19"/>
      <c r="G57" s="13"/>
    </row>
    <row r="58" spans="1:7" x14ac:dyDescent="0.25">
      <c r="A58" s="4">
        <v>520785</v>
      </c>
      <c r="B58" s="24" t="s">
        <v>15</v>
      </c>
      <c r="C58" s="24">
        <v>1</v>
      </c>
      <c r="D58" s="24">
        <v>74.989999999999995</v>
      </c>
      <c r="E58" s="23">
        <f t="shared" si="1"/>
        <v>1450.34</v>
      </c>
      <c r="F58" s="19"/>
      <c r="G58" s="13"/>
    </row>
    <row r="59" spans="1:7" x14ac:dyDescent="0.25">
      <c r="A59" s="4">
        <v>522679</v>
      </c>
      <c r="B59" s="20" t="s">
        <v>19</v>
      </c>
      <c r="C59" s="21">
        <v>15</v>
      </c>
      <c r="D59" s="22">
        <v>19.989999999999998</v>
      </c>
      <c r="E59" s="23">
        <f t="shared" si="1"/>
        <v>1088.83</v>
      </c>
      <c r="F59" s="19"/>
      <c r="G59" s="13"/>
    </row>
    <row r="60" spans="1:7" x14ac:dyDescent="0.25">
      <c r="A60" s="4">
        <v>522679</v>
      </c>
      <c r="B60" s="24" t="s">
        <v>18</v>
      </c>
      <c r="C60" s="24">
        <v>1</v>
      </c>
      <c r="D60" s="24">
        <v>699.99</v>
      </c>
      <c r="E60" s="23">
        <f t="shared" si="1"/>
        <v>1088.83</v>
      </c>
      <c r="F60" s="19"/>
      <c r="G60" s="13"/>
    </row>
    <row r="61" spans="1:7" x14ac:dyDescent="0.25">
      <c r="A61" s="4">
        <v>522679</v>
      </c>
      <c r="B61" s="24" t="s">
        <v>15</v>
      </c>
      <c r="C61" s="24">
        <v>1</v>
      </c>
      <c r="D61" s="24">
        <v>88.99</v>
      </c>
      <c r="E61" s="23">
        <f t="shared" si="1"/>
        <v>1088.83</v>
      </c>
      <c r="F61" s="19"/>
      <c r="G61" s="13"/>
    </row>
    <row r="62" spans="1:7" x14ac:dyDescent="0.25">
      <c r="A62" s="4">
        <v>524375</v>
      </c>
      <c r="B62" s="20" t="s">
        <v>22</v>
      </c>
      <c r="C62" s="21">
        <v>96</v>
      </c>
      <c r="D62" s="22">
        <v>4.99</v>
      </c>
      <c r="E62" s="23">
        <f t="shared" si="1"/>
        <v>814.82</v>
      </c>
      <c r="F62" s="19"/>
      <c r="G62" s="13"/>
    </row>
    <row r="63" spans="1:7" x14ac:dyDescent="0.25">
      <c r="A63" s="4">
        <v>524375</v>
      </c>
      <c r="B63" s="24" t="s">
        <v>18</v>
      </c>
      <c r="C63" s="24">
        <v>1</v>
      </c>
      <c r="D63" s="24">
        <v>266.79000000000002</v>
      </c>
      <c r="E63" s="23">
        <f t="shared" si="1"/>
        <v>814.82</v>
      </c>
      <c r="F63" s="19"/>
      <c r="G63" s="13"/>
    </row>
    <row r="64" spans="1:7" x14ac:dyDescent="0.25">
      <c r="A64" s="4">
        <v>524375</v>
      </c>
      <c r="B64" s="24" t="s">
        <v>15</v>
      </c>
      <c r="C64" s="24">
        <v>1</v>
      </c>
      <c r="D64" s="24">
        <v>68.989999999999995</v>
      </c>
      <c r="E64" s="23">
        <f t="shared" si="1"/>
        <v>814.82</v>
      </c>
      <c r="F64" s="19"/>
      <c r="G64" s="13"/>
    </row>
    <row r="65" spans="1:7" x14ac:dyDescent="0.25">
      <c r="A65" s="4">
        <v>528759</v>
      </c>
      <c r="B65" s="20" t="s">
        <v>13</v>
      </c>
      <c r="C65" s="21">
        <v>67</v>
      </c>
      <c r="D65" s="22">
        <v>1.29</v>
      </c>
      <c r="E65" s="23">
        <f t="shared" si="1"/>
        <v>361.17</v>
      </c>
      <c r="F65" s="19"/>
      <c r="G65" s="13"/>
    </row>
    <row r="66" spans="1:7" x14ac:dyDescent="0.25">
      <c r="A66" s="4">
        <v>528759</v>
      </c>
      <c r="B66" s="24" t="s">
        <v>18</v>
      </c>
      <c r="C66" s="24">
        <v>1</v>
      </c>
      <c r="D66" s="24">
        <v>240</v>
      </c>
      <c r="E66" s="23">
        <f t="shared" ref="E66:E97" si="2">SUMPRODUCT(--($A$2:$A$136 = A66), $C$2:$C$136 * $D$2:$D$136)</f>
        <v>361.17</v>
      </c>
      <c r="F66" s="19"/>
      <c r="G66" s="13"/>
    </row>
    <row r="67" spans="1:7" x14ac:dyDescent="0.25">
      <c r="A67" s="4">
        <v>528759</v>
      </c>
      <c r="B67" s="24" t="s">
        <v>15</v>
      </c>
      <c r="C67" s="24">
        <v>1</v>
      </c>
      <c r="D67" s="24">
        <v>14.79</v>
      </c>
      <c r="E67" s="23">
        <f t="shared" si="2"/>
        <v>361.17</v>
      </c>
      <c r="F67" s="19"/>
      <c r="G67" s="13"/>
    </row>
    <row r="68" spans="1:7" x14ac:dyDescent="0.25">
      <c r="A68" s="4">
        <v>528759</v>
      </c>
      <c r="B68" s="24" t="s">
        <v>23</v>
      </c>
      <c r="C68" s="24">
        <v>5</v>
      </c>
      <c r="D68" s="24">
        <v>3.99</v>
      </c>
      <c r="E68" s="23">
        <f t="shared" si="2"/>
        <v>361.17</v>
      </c>
      <c r="F68" s="19"/>
      <c r="G68" s="13"/>
    </row>
    <row r="69" spans="1:7" x14ac:dyDescent="0.25">
      <c r="A69" s="4">
        <v>530087</v>
      </c>
      <c r="B69" s="20" t="s">
        <v>22</v>
      </c>
      <c r="C69" s="21">
        <v>74</v>
      </c>
      <c r="D69" s="22">
        <v>15.99</v>
      </c>
      <c r="E69" s="23">
        <f t="shared" si="2"/>
        <v>1762.25</v>
      </c>
      <c r="F69" s="19"/>
      <c r="G69" s="13"/>
    </row>
    <row r="70" spans="1:7" x14ac:dyDescent="0.25">
      <c r="A70" s="4">
        <v>530087</v>
      </c>
      <c r="B70" s="24" t="s">
        <v>18</v>
      </c>
      <c r="C70" s="24">
        <v>1</v>
      </c>
      <c r="D70" s="24">
        <v>479.99</v>
      </c>
      <c r="E70" s="23">
        <f t="shared" si="2"/>
        <v>1762.25</v>
      </c>
      <c r="F70" s="19"/>
      <c r="G70" s="13"/>
    </row>
    <row r="71" spans="1:7" x14ac:dyDescent="0.25">
      <c r="A71" s="4">
        <v>530087</v>
      </c>
      <c r="B71" s="24" t="s">
        <v>15</v>
      </c>
      <c r="C71" s="24">
        <v>1</v>
      </c>
      <c r="D71" s="24">
        <v>99</v>
      </c>
      <c r="E71" s="23">
        <f t="shared" si="2"/>
        <v>1762.25</v>
      </c>
      <c r="F71" s="19"/>
      <c r="G71" s="13"/>
    </row>
    <row r="72" spans="1:7" x14ac:dyDescent="0.25">
      <c r="A72" s="4">
        <v>533486</v>
      </c>
      <c r="B72" s="20" t="s">
        <v>17</v>
      </c>
      <c r="C72" s="21">
        <v>46</v>
      </c>
      <c r="D72" s="22">
        <v>8.99</v>
      </c>
      <c r="E72" s="23">
        <f t="shared" si="2"/>
        <v>793.63000000000011</v>
      </c>
      <c r="F72" s="19"/>
      <c r="G72" s="13"/>
    </row>
    <row r="73" spans="1:7" x14ac:dyDescent="0.25">
      <c r="A73" s="4">
        <v>533486</v>
      </c>
      <c r="B73" s="24" t="s">
        <v>18</v>
      </c>
      <c r="C73" s="24">
        <v>1</v>
      </c>
      <c r="D73" s="24">
        <v>300.14</v>
      </c>
      <c r="E73" s="23">
        <f t="shared" si="2"/>
        <v>793.63000000000011</v>
      </c>
      <c r="F73" s="19"/>
      <c r="G73" s="13"/>
    </row>
    <row r="74" spans="1:7" x14ac:dyDescent="0.25">
      <c r="A74" s="4">
        <v>533486</v>
      </c>
      <c r="B74" s="24" t="s">
        <v>15</v>
      </c>
      <c r="C74" s="24">
        <v>1</v>
      </c>
      <c r="D74" s="24">
        <v>79.95</v>
      </c>
      <c r="E74" s="23">
        <f t="shared" si="2"/>
        <v>793.63000000000011</v>
      </c>
      <c r="F74" s="19"/>
      <c r="G74" s="13"/>
    </row>
    <row r="75" spans="1:7" x14ac:dyDescent="0.25">
      <c r="A75" s="4">
        <v>535357</v>
      </c>
      <c r="B75" s="20" t="s">
        <v>17</v>
      </c>
      <c r="C75" s="21">
        <v>87</v>
      </c>
      <c r="D75" s="22">
        <v>15</v>
      </c>
      <c r="E75" s="23">
        <f t="shared" si="2"/>
        <v>1839.98</v>
      </c>
      <c r="F75" s="19"/>
      <c r="G75" s="13"/>
    </row>
    <row r="76" spans="1:7" x14ac:dyDescent="0.25">
      <c r="A76" s="4">
        <v>535357</v>
      </c>
      <c r="B76" s="24" t="s">
        <v>18</v>
      </c>
      <c r="C76" s="24">
        <v>1</v>
      </c>
      <c r="D76" s="24">
        <v>459.99</v>
      </c>
      <c r="E76" s="23">
        <f t="shared" si="2"/>
        <v>1839.98</v>
      </c>
      <c r="F76" s="19"/>
      <c r="G76" s="13"/>
    </row>
    <row r="77" spans="1:7" x14ac:dyDescent="0.25">
      <c r="A77" s="4">
        <v>535357</v>
      </c>
      <c r="B77" s="24" t="s">
        <v>15</v>
      </c>
      <c r="C77" s="24">
        <v>1</v>
      </c>
      <c r="D77" s="24">
        <v>74.989999999999995</v>
      </c>
      <c r="E77" s="23">
        <f t="shared" si="2"/>
        <v>1839.98</v>
      </c>
      <c r="F77" s="19"/>
      <c r="G77" s="13"/>
    </row>
    <row r="78" spans="1:7" x14ac:dyDescent="0.25">
      <c r="A78" s="4">
        <v>536894</v>
      </c>
      <c r="B78" s="20" t="s">
        <v>17</v>
      </c>
      <c r="C78" s="21">
        <v>4</v>
      </c>
      <c r="D78" s="22">
        <v>4.99</v>
      </c>
      <c r="E78" s="23">
        <f t="shared" si="2"/>
        <v>690.94</v>
      </c>
      <c r="F78" s="19"/>
      <c r="G78" s="13"/>
    </row>
    <row r="79" spans="1:7" x14ac:dyDescent="0.25">
      <c r="A79" s="4">
        <v>536894</v>
      </c>
      <c r="B79" s="24" t="s">
        <v>18</v>
      </c>
      <c r="C79" s="24">
        <v>1</v>
      </c>
      <c r="D79" s="24">
        <v>579.99</v>
      </c>
      <c r="E79" s="23">
        <f t="shared" si="2"/>
        <v>690.94</v>
      </c>
      <c r="F79" s="19"/>
      <c r="G79" s="13"/>
    </row>
    <row r="80" spans="1:7" x14ac:dyDescent="0.25">
      <c r="A80" s="4">
        <v>536894</v>
      </c>
      <c r="B80" s="24" t="s">
        <v>15</v>
      </c>
      <c r="C80" s="24">
        <v>1</v>
      </c>
      <c r="D80" s="24">
        <v>90.99</v>
      </c>
      <c r="E80" s="23">
        <f t="shared" si="2"/>
        <v>690.94</v>
      </c>
      <c r="F80" s="19"/>
      <c r="G80" s="13"/>
    </row>
    <row r="81" spans="1:7" x14ac:dyDescent="0.25">
      <c r="A81" s="4">
        <v>537659</v>
      </c>
      <c r="B81" s="20" t="s">
        <v>17</v>
      </c>
      <c r="C81" s="21">
        <v>7</v>
      </c>
      <c r="D81" s="22">
        <v>19.989999999999998</v>
      </c>
      <c r="E81" s="23">
        <f t="shared" si="2"/>
        <v>837.87</v>
      </c>
      <c r="F81" s="19"/>
      <c r="G81" s="13"/>
    </row>
    <row r="82" spans="1:7" x14ac:dyDescent="0.25">
      <c r="A82" s="4">
        <v>537659</v>
      </c>
      <c r="B82" s="24" t="s">
        <v>18</v>
      </c>
      <c r="C82" s="24">
        <v>1</v>
      </c>
      <c r="D82" s="24">
        <v>600.95000000000005</v>
      </c>
      <c r="E82" s="23">
        <f t="shared" si="2"/>
        <v>837.87</v>
      </c>
      <c r="F82" s="19"/>
      <c r="G82" s="13"/>
    </row>
    <row r="83" spans="1:7" x14ac:dyDescent="0.25">
      <c r="A83" s="4">
        <v>537659</v>
      </c>
      <c r="B83" s="24" t="s">
        <v>15</v>
      </c>
      <c r="C83" s="24">
        <v>1</v>
      </c>
      <c r="D83" s="24">
        <v>96.99</v>
      </c>
      <c r="E83" s="23">
        <f t="shared" si="2"/>
        <v>837.87</v>
      </c>
      <c r="F83" s="19"/>
      <c r="G83" s="13"/>
    </row>
    <row r="84" spans="1:7" x14ac:dyDescent="0.25">
      <c r="A84" s="4">
        <v>539750</v>
      </c>
      <c r="B84" s="20" t="s">
        <v>22</v>
      </c>
      <c r="C84" s="21">
        <v>50</v>
      </c>
      <c r="D84" s="22">
        <v>4.99</v>
      </c>
      <c r="E84" s="23">
        <f t="shared" si="2"/>
        <v>1256.48</v>
      </c>
      <c r="F84" s="19"/>
      <c r="G84" s="13"/>
    </row>
    <row r="85" spans="1:7" x14ac:dyDescent="0.25">
      <c r="A85" s="4">
        <v>539750</v>
      </c>
      <c r="B85" s="24" t="s">
        <v>18</v>
      </c>
      <c r="C85" s="24">
        <v>1</v>
      </c>
      <c r="D85" s="24">
        <v>919.99</v>
      </c>
      <c r="E85" s="23">
        <f t="shared" si="2"/>
        <v>1256.48</v>
      </c>
      <c r="F85" s="19"/>
      <c r="G85" s="13"/>
    </row>
    <row r="86" spans="1:7" x14ac:dyDescent="0.25">
      <c r="A86" s="4">
        <v>539750</v>
      </c>
      <c r="B86" s="24" t="s">
        <v>15</v>
      </c>
      <c r="C86" s="24">
        <v>1</v>
      </c>
      <c r="D86" s="24">
        <v>86.99</v>
      </c>
      <c r="E86" s="23">
        <f t="shared" si="2"/>
        <v>1256.48</v>
      </c>
      <c r="F86" s="19"/>
      <c r="G86" s="13"/>
    </row>
    <row r="87" spans="1:7" x14ac:dyDescent="0.25">
      <c r="A87" s="4">
        <v>541376</v>
      </c>
      <c r="B87" s="20" t="s">
        <v>13</v>
      </c>
      <c r="C87" s="21">
        <v>66</v>
      </c>
      <c r="D87" s="22">
        <v>1.99</v>
      </c>
      <c r="E87" s="23">
        <f t="shared" si="2"/>
        <v>634.32000000000005</v>
      </c>
      <c r="F87" s="19"/>
      <c r="G87" s="13"/>
    </row>
    <row r="88" spans="1:7" x14ac:dyDescent="0.25">
      <c r="A88" s="4">
        <v>541376</v>
      </c>
      <c r="B88" s="24" t="s">
        <v>18</v>
      </c>
      <c r="C88" s="24">
        <v>1</v>
      </c>
      <c r="D88" s="24">
        <v>385.99</v>
      </c>
      <c r="E88" s="23">
        <f t="shared" si="2"/>
        <v>634.32000000000005</v>
      </c>
      <c r="F88" s="19"/>
      <c r="G88" s="13"/>
    </row>
    <row r="89" spans="1:7" x14ac:dyDescent="0.25">
      <c r="A89" s="4">
        <v>541376</v>
      </c>
      <c r="B89" s="24" t="s">
        <v>15</v>
      </c>
      <c r="C89" s="24">
        <v>1</v>
      </c>
      <c r="D89" s="24">
        <v>116.99</v>
      </c>
      <c r="E89" s="23">
        <f t="shared" si="2"/>
        <v>634.32000000000005</v>
      </c>
      <c r="F89" s="19"/>
      <c r="G89" s="13"/>
    </row>
    <row r="90" spans="1:7" x14ac:dyDescent="0.25">
      <c r="A90" s="4">
        <v>543674</v>
      </c>
      <c r="B90" s="20" t="s">
        <v>19</v>
      </c>
      <c r="C90" s="21">
        <v>96</v>
      </c>
      <c r="D90" s="22">
        <v>4.99</v>
      </c>
      <c r="E90" s="23">
        <f t="shared" si="2"/>
        <v>951.02</v>
      </c>
      <c r="F90" s="19"/>
      <c r="G90" s="13"/>
    </row>
    <row r="91" spans="1:7" x14ac:dyDescent="0.25">
      <c r="A91" s="4">
        <v>543674</v>
      </c>
      <c r="B91" s="24" t="s">
        <v>18</v>
      </c>
      <c r="C91" s="24">
        <v>1</v>
      </c>
      <c r="D91" s="24">
        <v>399.99</v>
      </c>
      <c r="E91" s="23">
        <f t="shared" si="2"/>
        <v>951.02</v>
      </c>
      <c r="F91" s="19"/>
      <c r="G91" s="13"/>
    </row>
    <row r="92" spans="1:7" x14ac:dyDescent="0.25">
      <c r="A92" s="4">
        <v>543674</v>
      </c>
      <c r="B92" s="24" t="s">
        <v>15</v>
      </c>
      <c r="C92" s="24">
        <v>1</v>
      </c>
      <c r="D92" s="24">
        <v>71.989999999999995</v>
      </c>
      <c r="E92" s="23">
        <f t="shared" si="2"/>
        <v>951.02</v>
      </c>
      <c r="F92" s="19"/>
      <c r="G92" s="13"/>
    </row>
    <row r="93" spans="1:7" x14ac:dyDescent="0.25">
      <c r="A93" s="4">
        <v>543899</v>
      </c>
      <c r="B93" s="20" t="s">
        <v>13</v>
      </c>
      <c r="C93" s="21">
        <v>53</v>
      </c>
      <c r="D93" s="22">
        <v>1.29</v>
      </c>
      <c r="E93" s="23">
        <f t="shared" si="2"/>
        <v>679.35</v>
      </c>
      <c r="F93" s="19"/>
      <c r="G93" s="13"/>
    </row>
    <row r="94" spans="1:7" x14ac:dyDescent="0.25">
      <c r="A94" s="4">
        <v>543899</v>
      </c>
      <c r="B94" s="24" t="s">
        <v>18</v>
      </c>
      <c r="C94" s="24">
        <v>1</v>
      </c>
      <c r="D94" s="24">
        <v>529.99</v>
      </c>
      <c r="E94" s="23">
        <f t="shared" si="2"/>
        <v>679.35</v>
      </c>
      <c r="F94" s="19"/>
      <c r="G94" s="13"/>
    </row>
    <row r="95" spans="1:7" x14ac:dyDescent="0.25">
      <c r="A95" s="4">
        <v>543899</v>
      </c>
      <c r="B95" s="24" t="s">
        <v>15</v>
      </c>
      <c r="C95" s="24">
        <v>1</v>
      </c>
      <c r="D95" s="24">
        <v>80.989999999999995</v>
      </c>
      <c r="E95" s="23">
        <f t="shared" si="2"/>
        <v>679.35</v>
      </c>
      <c r="F95" s="19"/>
      <c r="G95" s="13"/>
    </row>
    <row r="96" spans="1:7" x14ac:dyDescent="0.25">
      <c r="A96" s="4">
        <v>544783</v>
      </c>
      <c r="B96" s="20" t="s">
        <v>17</v>
      </c>
      <c r="C96" s="21">
        <v>80</v>
      </c>
      <c r="D96" s="22">
        <v>8.99</v>
      </c>
      <c r="E96" s="23">
        <f t="shared" si="2"/>
        <v>1327.18</v>
      </c>
      <c r="F96" s="19"/>
      <c r="G96" s="13"/>
    </row>
    <row r="97" spans="1:7" x14ac:dyDescent="0.25">
      <c r="A97" s="4">
        <v>544783</v>
      </c>
      <c r="B97" s="24" t="s">
        <v>18</v>
      </c>
      <c r="C97" s="24">
        <v>1</v>
      </c>
      <c r="D97" s="24">
        <v>479.99</v>
      </c>
      <c r="E97" s="23">
        <f t="shared" si="2"/>
        <v>1327.18</v>
      </c>
      <c r="F97" s="19"/>
      <c r="G97" s="13"/>
    </row>
    <row r="98" spans="1:7" x14ac:dyDescent="0.25">
      <c r="A98" s="4">
        <v>544783</v>
      </c>
      <c r="B98" s="24" t="s">
        <v>15</v>
      </c>
      <c r="C98" s="24">
        <v>1</v>
      </c>
      <c r="D98" s="24">
        <v>127.99</v>
      </c>
      <c r="E98" s="23">
        <f t="shared" ref="E98:E129" si="3">SUMPRODUCT(--($A$2:$A$136 = A98), $C$2:$C$136 * $D$2:$D$136)</f>
        <v>1327.18</v>
      </c>
      <c r="F98" s="19"/>
      <c r="G98" s="13"/>
    </row>
    <row r="99" spans="1:7" x14ac:dyDescent="0.25">
      <c r="A99" s="4">
        <v>546738</v>
      </c>
      <c r="B99" s="20" t="s">
        <v>21</v>
      </c>
      <c r="C99" s="21">
        <v>5</v>
      </c>
      <c r="D99" s="22">
        <v>125</v>
      </c>
      <c r="E99" s="23">
        <f t="shared" si="3"/>
        <v>1384.98</v>
      </c>
      <c r="F99" s="19"/>
      <c r="G99" s="13"/>
    </row>
    <row r="100" spans="1:7" x14ac:dyDescent="0.25">
      <c r="A100" s="4">
        <v>546738</v>
      </c>
      <c r="B100" s="24" t="s">
        <v>18</v>
      </c>
      <c r="C100" s="24">
        <v>1</v>
      </c>
      <c r="D100" s="24">
        <v>679.99</v>
      </c>
      <c r="E100" s="23">
        <f t="shared" si="3"/>
        <v>1384.98</v>
      </c>
      <c r="F100" s="19"/>
      <c r="G100" s="13"/>
    </row>
    <row r="101" spans="1:7" x14ac:dyDescent="0.25">
      <c r="A101" s="4">
        <v>546738</v>
      </c>
      <c r="B101" s="24" t="s">
        <v>15</v>
      </c>
      <c r="C101" s="24">
        <v>1</v>
      </c>
      <c r="D101" s="24">
        <v>79.989999999999995</v>
      </c>
      <c r="E101" s="23">
        <f t="shared" si="3"/>
        <v>1384.98</v>
      </c>
      <c r="F101" s="19"/>
      <c r="G101" s="13"/>
    </row>
    <row r="102" spans="1:7" x14ac:dyDescent="0.25">
      <c r="A102" s="4">
        <v>548226</v>
      </c>
      <c r="B102" s="20" t="s">
        <v>22</v>
      </c>
      <c r="C102" s="21">
        <v>62</v>
      </c>
      <c r="D102" s="22">
        <v>4.99</v>
      </c>
      <c r="E102" s="23">
        <f t="shared" si="3"/>
        <v>1344.9099999999999</v>
      </c>
      <c r="F102" s="19"/>
      <c r="G102" s="13"/>
    </row>
    <row r="103" spans="1:7" x14ac:dyDescent="0.25">
      <c r="A103" s="4">
        <v>548226</v>
      </c>
      <c r="B103" s="24" t="s">
        <v>18</v>
      </c>
      <c r="C103" s="24">
        <v>1</v>
      </c>
      <c r="D103" s="24">
        <v>800.76</v>
      </c>
      <c r="E103" s="23">
        <f t="shared" si="3"/>
        <v>1344.9099999999999</v>
      </c>
      <c r="F103" s="19"/>
      <c r="G103" s="13"/>
    </row>
    <row r="104" spans="1:7" x14ac:dyDescent="0.25">
      <c r="A104" s="4">
        <v>548226</v>
      </c>
      <c r="B104" s="24" t="s">
        <v>15</v>
      </c>
      <c r="C104" s="24">
        <v>1</v>
      </c>
      <c r="D104" s="24">
        <v>179.99</v>
      </c>
      <c r="E104" s="23">
        <f t="shared" si="3"/>
        <v>1344.9099999999999</v>
      </c>
      <c r="F104" s="19"/>
      <c r="G104" s="13"/>
    </row>
    <row r="105" spans="1:7" x14ac:dyDescent="0.25">
      <c r="A105" s="4">
        <v>548226</v>
      </c>
      <c r="B105" s="24" t="s">
        <v>24</v>
      </c>
      <c r="C105" s="24">
        <v>22</v>
      </c>
      <c r="D105" s="24">
        <v>2.4900000000000002</v>
      </c>
      <c r="E105" s="23">
        <f t="shared" si="3"/>
        <v>1344.9099999999999</v>
      </c>
      <c r="F105" s="19"/>
      <c r="G105" s="13"/>
    </row>
    <row r="106" spans="1:7" x14ac:dyDescent="0.25">
      <c r="A106" s="4">
        <v>549385</v>
      </c>
      <c r="B106" s="20" t="s">
        <v>22</v>
      </c>
      <c r="C106" s="21">
        <v>55</v>
      </c>
      <c r="D106" s="22">
        <v>12.49</v>
      </c>
      <c r="E106" s="23">
        <f t="shared" si="3"/>
        <v>1161.8900000000001</v>
      </c>
      <c r="F106" s="19"/>
      <c r="G106" s="13"/>
    </row>
    <row r="107" spans="1:7" x14ac:dyDescent="0.25">
      <c r="A107" s="4">
        <v>549385</v>
      </c>
      <c r="B107" s="24" t="s">
        <v>18</v>
      </c>
      <c r="C107" s="24">
        <v>1</v>
      </c>
      <c r="D107" s="24">
        <v>359.99</v>
      </c>
      <c r="E107" s="23">
        <f t="shared" si="3"/>
        <v>1161.8900000000001</v>
      </c>
      <c r="F107" s="19"/>
      <c r="G107" s="13"/>
    </row>
    <row r="108" spans="1:7" x14ac:dyDescent="0.25">
      <c r="A108" s="4">
        <v>549385</v>
      </c>
      <c r="B108" s="24" t="s">
        <v>15</v>
      </c>
      <c r="C108" s="24">
        <v>1</v>
      </c>
      <c r="D108" s="24">
        <v>114.95</v>
      </c>
      <c r="E108" s="23">
        <f t="shared" si="3"/>
        <v>1161.8900000000001</v>
      </c>
      <c r="F108" s="19"/>
      <c r="G108" s="13"/>
    </row>
    <row r="109" spans="1:7" x14ac:dyDescent="0.25">
      <c r="A109" s="4">
        <v>550849</v>
      </c>
      <c r="B109" s="20" t="s">
        <v>22</v>
      </c>
      <c r="C109" s="21">
        <v>42</v>
      </c>
      <c r="D109" s="22">
        <v>23.95</v>
      </c>
      <c r="E109" s="23">
        <f t="shared" si="3"/>
        <v>1605.8799999999999</v>
      </c>
      <c r="F109" s="19"/>
      <c r="G109" s="13"/>
    </row>
    <row r="110" spans="1:7" x14ac:dyDescent="0.25">
      <c r="A110" s="4">
        <v>550849</v>
      </c>
      <c r="B110" s="24" t="s">
        <v>18</v>
      </c>
      <c r="C110" s="24">
        <v>1</v>
      </c>
      <c r="D110" s="24">
        <v>489.99</v>
      </c>
      <c r="E110" s="23">
        <f t="shared" si="3"/>
        <v>1605.8799999999999</v>
      </c>
      <c r="F110" s="19"/>
      <c r="G110" s="13"/>
    </row>
    <row r="111" spans="1:7" x14ac:dyDescent="0.25">
      <c r="A111" s="4">
        <v>550849</v>
      </c>
      <c r="B111" s="24" t="s">
        <v>15</v>
      </c>
      <c r="C111" s="24">
        <v>1</v>
      </c>
      <c r="D111" s="24">
        <v>109.99</v>
      </c>
      <c r="E111" s="23">
        <f t="shared" si="3"/>
        <v>1605.8799999999999</v>
      </c>
      <c r="F111" s="19"/>
      <c r="G111" s="13"/>
    </row>
    <row r="112" spans="1:7" x14ac:dyDescent="0.25">
      <c r="A112" s="4">
        <v>551228</v>
      </c>
      <c r="B112" s="20" t="s">
        <v>21</v>
      </c>
      <c r="C112" s="21">
        <v>3</v>
      </c>
      <c r="D112" s="22">
        <v>275</v>
      </c>
      <c r="E112" s="23">
        <f t="shared" si="3"/>
        <v>1640.98</v>
      </c>
      <c r="F112" s="19"/>
      <c r="G112" s="13"/>
    </row>
    <row r="113" spans="1:7" x14ac:dyDescent="0.25">
      <c r="A113" s="4">
        <v>551228</v>
      </c>
      <c r="B113" s="24" t="s">
        <v>18</v>
      </c>
      <c r="C113" s="24">
        <v>1</v>
      </c>
      <c r="D113" s="24">
        <v>739.99</v>
      </c>
      <c r="E113" s="23">
        <f t="shared" si="3"/>
        <v>1640.98</v>
      </c>
      <c r="F113" s="19"/>
      <c r="G113" s="13"/>
    </row>
    <row r="114" spans="1:7" x14ac:dyDescent="0.25">
      <c r="A114" s="4">
        <v>551228</v>
      </c>
      <c r="B114" s="24" t="s">
        <v>15</v>
      </c>
      <c r="C114" s="24">
        <v>1</v>
      </c>
      <c r="D114" s="24">
        <v>75.989999999999995</v>
      </c>
      <c r="E114" s="23">
        <f t="shared" si="3"/>
        <v>1640.98</v>
      </c>
      <c r="F114" s="19"/>
      <c r="G114" s="13"/>
    </row>
    <row r="115" spans="1:7" x14ac:dyDescent="0.25">
      <c r="A115" s="4">
        <v>553859</v>
      </c>
      <c r="B115" s="20" t="s">
        <v>13</v>
      </c>
      <c r="C115" s="21">
        <v>7</v>
      </c>
      <c r="D115" s="22">
        <v>1.29</v>
      </c>
      <c r="E115" s="23">
        <f t="shared" si="3"/>
        <v>762.02</v>
      </c>
      <c r="F115" s="19"/>
      <c r="G115" s="13"/>
    </row>
    <row r="116" spans="1:7" x14ac:dyDescent="0.25">
      <c r="A116" s="4">
        <v>553859</v>
      </c>
      <c r="B116" s="24" t="s">
        <v>18</v>
      </c>
      <c r="C116" s="24">
        <v>1</v>
      </c>
      <c r="D116" s="24">
        <v>700</v>
      </c>
      <c r="E116" s="23">
        <f t="shared" si="3"/>
        <v>762.02</v>
      </c>
      <c r="F116" s="19"/>
      <c r="G116" s="13"/>
    </row>
    <row r="117" spans="1:7" x14ac:dyDescent="0.25">
      <c r="A117" s="4">
        <v>553859</v>
      </c>
      <c r="B117" s="24" t="s">
        <v>15</v>
      </c>
      <c r="C117" s="24">
        <v>1</v>
      </c>
      <c r="D117" s="24">
        <v>52.99</v>
      </c>
      <c r="E117" s="23">
        <f t="shared" si="3"/>
        <v>762.02</v>
      </c>
      <c r="F117" s="19"/>
      <c r="G117" s="13"/>
    </row>
    <row r="118" spans="1:7" x14ac:dyDescent="0.25">
      <c r="A118" s="4">
        <v>554783</v>
      </c>
      <c r="B118" s="20" t="s">
        <v>19</v>
      </c>
      <c r="C118" s="21">
        <v>76</v>
      </c>
      <c r="D118" s="22">
        <v>1.99</v>
      </c>
      <c r="E118" s="23">
        <f t="shared" si="3"/>
        <v>670.02</v>
      </c>
      <c r="F118" s="19"/>
      <c r="G118" s="13"/>
    </row>
    <row r="119" spans="1:7" x14ac:dyDescent="0.25">
      <c r="A119" s="4">
        <v>554783</v>
      </c>
      <c r="B119" s="24" t="s">
        <v>18</v>
      </c>
      <c r="C119" s="24">
        <v>1</v>
      </c>
      <c r="D119" s="24">
        <v>429.99</v>
      </c>
      <c r="E119" s="23">
        <f t="shared" si="3"/>
        <v>670.02</v>
      </c>
      <c r="F119" s="19"/>
      <c r="G119" s="13"/>
    </row>
    <row r="120" spans="1:7" x14ac:dyDescent="0.25">
      <c r="A120" s="4">
        <v>554783</v>
      </c>
      <c r="B120" s="24" t="s">
        <v>15</v>
      </c>
      <c r="C120" s="24">
        <v>1</v>
      </c>
      <c r="D120" s="24">
        <v>88.79</v>
      </c>
      <c r="E120" s="23">
        <f t="shared" si="3"/>
        <v>670.02</v>
      </c>
      <c r="F120" s="19"/>
      <c r="G120" s="13"/>
    </row>
    <row r="121" spans="1:7" x14ac:dyDescent="0.25">
      <c r="A121" s="4">
        <v>555849</v>
      </c>
      <c r="B121" s="20" t="s">
        <v>17</v>
      </c>
      <c r="C121" s="21">
        <v>57</v>
      </c>
      <c r="D121" s="22">
        <v>19.989999999999998</v>
      </c>
      <c r="E121" s="23">
        <f t="shared" si="3"/>
        <v>2008.31</v>
      </c>
      <c r="F121" s="19"/>
      <c r="G121" s="13"/>
    </row>
    <row r="122" spans="1:7" x14ac:dyDescent="0.25">
      <c r="A122" s="4">
        <v>555849</v>
      </c>
      <c r="B122" s="24" t="s">
        <v>18</v>
      </c>
      <c r="C122" s="24">
        <v>1</v>
      </c>
      <c r="D122" s="24">
        <v>749.99</v>
      </c>
      <c r="E122" s="23">
        <f t="shared" si="3"/>
        <v>2008.31</v>
      </c>
      <c r="F122" s="19"/>
      <c r="G122" s="13"/>
    </row>
    <row r="123" spans="1:7" x14ac:dyDescent="0.25">
      <c r="A123" s="4">
        <v>555849</v>
      </c>
      <c r="B123" s="24" t="s">
        <v>15</v>
      </c>
      <c r="C123" s="24">
        <v>1</v>
      </c>
      <c r="D123" s="24">
        <v>85.5</v>
      </c>
      <c r="E123" s="23">
        <f t="shared" si="3"/>
        <v>2008.31</v>
      </c>
      <c r="F123" s="19"/>
      <c r="G123" s="13"/>
    </row>
    <row r="124" spans="1:7" x14ac:dyDescent="0.25">
      <c r="A124" s="4">
        <v>555849</v>
      </c>
      <c r="B124" s="24" t="s">
        <v>24</v>
      </c>
      <c r="C124" s="24">
        <v>21</v>
      </c>
      <c r="D124" s="24">
        <v>1.59</v>
      </c>
      <c r="E124" s="23">
        <f t="shared" si="3"/>
        <v>2008.31</v>
      </c>
      <c r="F124" s="19"/>
      <c r="G124" s="13"/>
    </row>
    <row r="125" spans="1:7" x14ac:dyDescent="0.25">
      <c r="A125" s="4">
        <v>557102</v>
      </c>
      <c r="B125" s="20" t="s">
        <v>13</v>
      </c>
      <c r="C125" s="21">
        <v>14</v>
      </c>
      <c r="D125" s="22">
        <v>1.29</v>
      </c>
      <c r="E125" s="23">
        <f t="shared" si="3"/>
        <v>568.04</v>
      </c>
      <c r="F125" s="19"/>
      <c r="G125" s="13"/>
    </row>
    <row r="126" spans="1:7" x14ac:dyDescent="0.25">
      <c r="A126" s="4">
        <v>557102</v>
      </c>
      <c r="B126" s="24" t="s">
        <v>18</v>
      </c>
      <c r="C126" s="24">
        <v>1</v>
      </c>
      <c r="D126" s="24">
        <v>479.99</v>
      </c>
      <c r="E126" s="23">
        <f t="shared" si="3"/>
        <v>568.04</v>
      </c>
      <c r="F126" s="19"/>
      <c r="G126" s="13"/>
    </row>
    <row r="127" spans="1:7" x14ac:dyDescent="0.25">
      <c r="A127" s="4">
        <v>557102</v>
      </c>
      <c r="B127" s="24" t="s">
        <v>15</v>
      </c>
      <c r="C127" s="24">
        <v>1</v>
      </c>
      <c r="D127" s="24">
        <v>69.989999999999995</v>
      </c>
      <c r="E127" s="23">
        <f t="shared" si="3"/>
        <v>568.04</v>
      </c>
      <c r="F127" s="19"/>
      <c r="G127" s="13"/>
    </row>
    <row r="128" spans="1:7" x14ac:dyDescent="0.25">
      <c r="A128" s="4">
        <v>557849</v>
      </c>
      <c r="B128" s="20" t="s">
        <v>17</v>
      </c>
      <c r="C128" s="21">
        <v>11</v>
      </c>
      <c r="D128" s="22">
        <v>4.99</v>
      </c>
      <c r="E128" s="23">
        <f t="shared" si="3"/>
        <v>638.87</v>
      </c>
      <c r="F128" s="19"/>
      <c r="G128" s="13"/>
    </row>
    <row r="129" spans="1:7" x14ac:dyDescent="0.25">
      <c r="A129" s="4">
        <v>557849</v>
      </c>
      <c r="B129" s="24" t="s">
        <v>18</v>
      </c>
      <c r="C129" s="24">
        <v>1</v>
      </c>
      <c r="D129" s="24">
        <v>499.99</v>
      </c>
      <c r="E129" s="23">
        <f t="shared" si="3"/>
        <v>638.87</v>
      </c>
      <c r="F129" s="19"/>
      <c r="G129" s="13"/>
    </row>
    <row r="130" spans="1:7" x14ac:dyDescent="0.25">
      <c r="A130" s="4">
        <v>557849</v>
      </c>
      <c r="B130" s="24" t="s">
        <v>15</v>
      </c>
      <c r="C130" s="24">
        <v>1</v>
      </c>
      <c r="D130" s="24">
        <v>83.99</v>
      </c>
      <c r="E130" s="23">
        <f t="shared" ref="E130:E136" si="4">SUMPRODUCT(--($A$2:$A$136 = A130), $C$2:$C$136 * $D$2:$D$136)</f>
        <v>638.87</v>
      </c>
      <c r="F130" s="19"/>
      <c r="G130" s="13"/>
    </row>
    <row r="131" spans="1:7" x14ac:dyDescent="0.25">
      <c r="A131" s="4">
        <v>559304</v>
      </c>
      <c r="B131" s="20" t="s">
        <v>17</v>
      </c>
      <c r="C131" s="21">
        <v>94</v>
      </c>
      <c r="D131" s="22">
        <v>19.989999999999998</v>
      </c>
      <c r="E131" s="23">
        <f t="shared" si="4"/>
        <v>3240.05</v>
      </c>
      <c r="F131" s="19"/>
      <c r="G131" s="13"/>
    </row>
    <row r="132" spans="1:7" x14ac:dyDescent="0.25">
      <c r="A132" s="4">
        <v>559304</v>
      </c>
      <c r="B132" s="24" t="s">
        <v>18</v>
      </c>
      <c r="C132" s="24">
        <v>1</v>
      </c>
      <c r="D132" s="24">
        <v>1258.99</v>
      </c>
      <c r="E132" s="23">
        <f t="shared" si="4"/>
        <v>3240.05</v>
      </c>
      <c r="F132" s="19"/>
      <c r="G132" s="13"/>
    </row>
    <row r="133" spans="1:7" x14ac:dyDescent="0.25">
      <c r="A133" s="4">
        <v>559304</v>
      </c>
      <c r="B133" s="24" t="s">
        <v>15</v>
      </c>
      <c r="C133" s="24">
        <v>1</v>
      </c>
      <c r="D133" s="24">
        <v>102</v>
      </c>
      <c r="E133" s="23">
        <f t="shared" si="4"/>
        <v>3240.05</v>
      </c>
      <c r="F133" s="19"/>
      <c r="G133" s="13"/>
    </row>
    <row r="134" spans="1:7" x14ac:dyDescent="0.25">
      <c r="A134" s="4">
        <v>561790</v>
      </c>
      <c r="B134" s="20" t="s">
        <v>17</v>
      </c>
      <c r="C134" s="21">
        <v>28</v>
      </c>
      <c r="D134" s="22">
        <v>4.99</v>
      </c>
      <c r="E134" s="23">
        <f t="shared" si="4"/>
        <v>532.70000000000005</v>
      </c>
      <c r="F134" s="19"/>
      <c r="G134" s="13"/>
    </row>
    <row r="135" spans="1:7" x14ac:dyDescent="0.25">
      <c r="A135" s="4">
        <v>561790</v>
      </c>
      <c r="B135" s="24" t="s">
        <v>18</v>
      </c>
      <c r="C135" s="24">
        <v>1</v>
      </c>
      <c r="D135" s="24">
        <v>299.99</v>
      </c>
      <c r="E135" s="23">
        <f t="shared" si="4"/>
        <v>532.70000000000005</v>
      </c>
      <c r="F135" s="19"/>
      <c r="G135" s="13"/>
    </row>
    <row r="136" spans="1:7" x14ac:dyDescent="0.25">
      <c r="A136" s="4">
        <v>561790</v>
      </c>
      <c r="B136" s="24" t="s">
        <v>15</v>
      </c>
      <c r="C136" s="24">
        <v>1</v>
      </c>
      <c r="D136" s="24">
        <v>92.99</v>
      </c>
      <c r="E136" s="23">
        <f t="shared" si="4"/>
        <v>532.70000000000005</v>
      </c>
      <c r="F136" s="19"/>
      <c r="G136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76DDA-2BEA-478F-B722-328C0AF31C2D}">
  <sheetPr codeName="Sheet3"/>
  <dimension ref="A1:G136"/>
  <sheetViews>
    <sheetView tabSelected="1" workbookViewId="0">
      <selection activeCell="H3" sqref="H3"/>
    </sheetView>
  </sheetViews>
  <sheetFormatPr defaultRowHeight="15" x14ac:dyDescent="0.25"/>
  <cols>
    <col min="5" max="5" width="12.42578125" bestFit="1" customWidth="1"/>
    <col min="6" max="6" width="15.7109375" bestFit="1" customWidth="1"/>
    <col min="7" max="7" width="9.7109375" bestFit="1" customWidth="1"/>
    <col min="8" max="8" width="14.140625" bestFit="1" customWidth="1"/>
  </cols>
  <sheetData>
    <row r="1" spans="1:7" x14ac:dyDescent="0.25">
      <c r="A1" s="8" t="s">
        <v>25</v>
      </c>
      <c r="B1" s="15" t="s">
        <v>26</v>
      </c>
      <c r="C1" s="15" t="s">
        <v>27</v>
      </c>
      <c r="D1" s="15" t="s">
        <v>28</v>
      </c>
      <c r="E1" s="15" t="s">
        <v>45</v>
      </c>
      <c r="F1" s="16" t="s">
        <v>43</v>
      </c>
      <c r="G1" s="14" t="s">
        <v>51</v>
      </c>
    </row>
    <row r="2" spans="1:7" x14ac:dyDescent="0.25">
      <c r="A2" s="25">
        <v>43471</v>
      </c>
      <c r="B2" s="15">
        <v>473394</v>
      </c>
      <c r="C2" s="26" t="s">
        <v>29</v>
      </c>
      <c r="D2" s="26" t="s">
        <v>30</v>
      </c>
      <c r="E2" s="27">
        <f>VLOOKUP(B2,Invoice!$A:$E,5,0)</f>
        <v>762.31999999999994</v>
      </c>
      <c r="F2" s="28" t="s">
        <v>48</v>
      </c>
      <c r="G2" s="17">
        <v>762.32</v>
      </c>
    </row>
    <row r="3" spans="1:7" x14ac:dyDescent="0.25">
      <c r="A3" s="25">
        <v>43488</v>
      </c>
      <c r="B3" s="15">
        <v>485945</v>
      </c>
      <c r="C3" s="26" t="s">
        <v>31</v>
      </c>
      <c r="D3" s="26" t="s">
        <v>32</v>
      </c>
      <c r="E3" s="27">
        <f>VLOOKUP(B3,Invoice!$A:$E,5,0)</f>
        <v>1474.4799999999998</v>
      </c>
      <c r="F3" s="28" t="s">
        <v>48</v>
      </c>
      <c r="G3" s="17">
        <v>1474.48</v>
      </c>
    </row>
    <row r="4" spans="1:7" x14ac:dyDescent="0.25">
      <c r="A4" s="25">
        <v>43505</v>
      </c>
      <c r="B4" s="15">
        <v>488763</v>
      </c>
      <c r="C4" s="26" t="s">
        <v>31</v>
      </c>
      <c r="D4" s="26" t="s">
        <v>33</v>
      </c>
      <c r="E4" s="27">
        <f>VLOOKUP(B4,Invoice!$A:$E,5,0)</f>
        <v>861.62</v>
      </c>
      <c r="F4" s="28" t="s">
        <v>44</v>
      </c>
      <c r="G4" s="17">
        <v>775.45799999999997</v>
      </c>
    </row>
    <row r="5" spans="1:7" x14ac:dyDescent="0.25">
      <c r="A5" s="25">
        <v>43522</v>
      </c>
      <c r="B5" s="15">
        <v>491645</v>
      </c>
      <c r="C5" s="26" t="s">
        <v>31</v>
      </c>
      <c r="D5" s="26" t="s">
        <v>34</v>
      </c>
      <c r="E5" s="27">
        <f>VLOOKUP(B5,Invoice!$A:$E,5,0)</f>
        <v>934.70999999999992</v>
      </c>
      <c r="F5" s="28" t="s">
        <v>48</v>
      </c>
      <c r="G5" s="17">
        <v>934.71</v>
      </c>
    </row>
    <row r="6" spans="1:7" x14ac:dyDescent="0.25">
      <c r="A6" s="25">
        <v>43539</v>
      </c>
      <c r="B6" s="15">
        <v>492345</v>
      </c>
      <c r="C6" s="26" t="s">
        <v>35</v>
      </c>
      <c r="D6" s="26" t="s">
        <v>36</v>
      </c>
      <c r="E6" s="27">
        <f>VLOOKUP(B6,Invoice!$A:$E,5,0)</f>
        <v>1037.42</v>
      </c>
      <c r="F6" s="28" t="s">
        <v>44</v>
      </c>
      <c r="G6" s="17">
        <v>933.67800000000011</v>
      </c>
    </row>
    <row r="7" spans="1:7" x14ac:dyDescent="0.25">
      <c r="A7" s="25">
        <v>43556</v>
      </c>
      <c r="B7" s="15">
        <v>493569</v>
      </c>
      <c r="C7" s="26" t="s">
        <v>29</v>
      </c>
      <c r="D7" s="26" t="s">
        <v>30</v>
      </c>
      <c r="E7" s="27">
        <f>VLOOKUP(B7,Invoice!$A:$E,5,0)</f>
        <v>737.38000000000011</v>
      </c>
      <c r="F7" s="28" t="s">
        <v>48</v>
      </c>
      <c r="G7" s="17">
        <v>737.38</v>
      </c>
    </row>
    <row r="8" spans="1:7" x14ac:dyDescent="0.25">
      <c r="A8" s="25">
        <v>43573</v>
      </c>
      <c r="B8" s="15">
        <v>495668</v>
      </c>
      <c r="C8" s="26" t="s">
        <v>31</v>
      </c>
      <c r="D8" s="26" t="s">
        <v>37</v>
      </c>
      <c r="E8" s="27">
        <f>VLOOKUP(B8,Invoice!$A:$E,5,0)</f>
        <v>1419.23</v>
      </c>
      <c r="F8" s="28" t="s">
        <v>44</v>
      </c>
      <c r="G8" s="17">
        <v>1277.307</v>
      </c>
    </row>
    <row r="9" spans="1:7" x14ac:dyDescent="0.25">
      <c r="A9" s="25">
        <v>43590</v>
      </c>
      <c r="B9" s="15">
        <v>497499</v>
      </c>
      <c r="C9" s="26" t="s">
        <v>31</v>
      </c>
      <c r="D9" s="26" t="s">
        <v>33</v>
      </c>
      <c r="E9" s="27">
        <f>VLOOKUP(B9,Invoice!$A:$E,5,0)</f>
        <v>981.08</v>
      </c>
      <c r="F9" s="28" t="s">
        <v>48</v>
      </c>
      <c r="G9" s="17">
        <v>981.08</v>
      </c>
    </row>
    <row r="10" spans="1:7" x14ac:dyDescent="0.25">
      <c r="A10" s="25">
        <v>43607</v>
      </c>
      <c r="B10" s="15">
        <v>498732</v>
      </c>
      <c r="C10" s="26" t="s">
        <v>35</v>
      </c>
      <c r="D10" s="26" t="s">
        <v>38</v>
      </c>
      <c r="E10" s="27">
        <f>VLOOKUP(B10,Invoice!$A:$E,5,0)</f>
        <v>349.61</v>
      </c>
      <c r="F10" s="28" t="s">
        <v>48</v>
      </c>
      <c r="G10" s="17">
        <v>349.61</v>
      </c>
    </row>
    <row r="11" spans="1:7" x14ac:dyDescent="0.25">
      <c r="A11" s="25">
        <v>43624</v>
      </c>
      <c r="B11" s="15">
        <v>507986</v>
      </c>
      <c r="C11" s="26" t="s">
        <v>29</v>
      </c>
      <c r="D11" s="26" t="s">
        <v>30</v>
      </c>
      <c r="E11" s="27">
        <f>VLOOKUP(B11,Invoice!$A:$E,5,0)</f>
        <v>955.38</v>
      </c>
      <c r="F11" s="28" t="s">
        <v>48</v>
      </c>
      <c r="G11" s="17">
        <v>955.38</v>
      </c>
    </row>
    <row r="12" spans="1:7" x14ac:dyDescent="0.25">
      <c r="A12" s="25">
        <v>43641</v>
      </c>
      <c r="B12" s="15">
        <v>509721</v>
      </c>
      <c r="C12" s="26" t="s">
        <v>31</v>
      </c>
      <c r="D12" s="26" t="s">
        <v>39</v>
      </c>
      <c r="E12" s="27">
        <f>VLOOKUP(B12,Invoice!$A:$E,5,0)</f>
        <v>1366.0800000000002</v>
      </c>
      <c r="F12" s="28" t="s">
        <v>44</v>
      </c>
      <c r="G12" s="17">
        <v>1229.472</v>
      </c>
    </row>
    <row r="13" spans="1:7" x14ac:dyDescent="0.25">
      <c r="A13" s="25">
        <v>43658</v>
      </c>
      <c r="B13" s="15">
        <v>511375</v>
      </c>
      <c r="C13" s="26" t="s">
        <v>29</v>
      </c>
      <c r="D13" s="26" t="s">
        <v>40</v>
      </c>
      <c r="E13" s="27">
        <f>VLOOKUP(B13,Invoice!$A:$E,5,0)</f>
        <v>542.68999999999994</v>
      </c>
      <c r="F13" s="28" t="s">
        <v>48</v>
      </c>
      <c r="G13" s="17">
        <v>542.69000000000005</v>
      </c>
    </row>
    <row r="14" spans="1:7" x14ac:dyDescent="0.25">
      <c r="A14" s="25">
        <v>43675</v>
      </c>
      <c r="B14" s="15">
        <v>512658</v>
      </c>
      <c r="C14" s="26" t="s">
        <v>29</v>
      </c>
      <c r="D14" s="26" t="s">
        <v>41</v>
      </c>
      <c r="E14" s="27">
        <f>VLOOKUP(B14,Invoice!$A:$E,5,0)</f>
        <v>2299.16</v>
      </c>
      <c r="F14" s="28" t="s">
        <v>48</v>
      </c>
      <c r="G14" s="17">
        <v>2299.16</v>
      </c>
    </row>
    <row r="15" spans="1:7" x14ac:dyDescent="0.25">
      <c r="A15" s="25">
        <v>43692</v>
      </c>
      <c r="B15" s="15">
        <v>514436</v>
      </c>
      <c r="C15" s="26" t="s">
        <v>29</v>
      </c>
      <c r="D15" s="26" t="s">
        <v>30</v>
      </c>
      <c r="E15" s="27">
        <f>VLOOKUP(B15,Invoice!$A:$E,5,0)</f>
        <v>836.53</v>
      </c>
      <c r="F15" s="28" t="s">
        <v>44</v>
      </c>
      <c r="G15" s="17">
        <v>752.87699999999995</v>
      </c>
    </row>
    <row r="16" spans="1:7" x14ac:dyDescent="0.25">
      <c r="A16" s="25">
        <v>43709</v>
      </c>
      <c r="B16" s="15">
        <v>516853</v>
      </c>
      <c r="C16" s="26" t="s">
        <v>31</v>
      </c>
      <c r="D16" s="26" t="s">
        <v>42</v>
      </c>
      <c r="E16" s="27">
        <f>VLOOKUP(B16,Invoice!$A:$E,5,0)</f>
        <v>710.98</v>
      </c>
      <c r="F16" s="28" t="s">
        <v>48</v>
      </c>
      <c r="G16" s="17">
        <v>710.98</v>
      </c>
    </row>
    <row r="17" spans="1:7" x14ac:dyDescent="0.25">
      <c r="A17" s="25">
        <v>43726</v>
      </c>
      <c r="B17" s="15">
        <v>518737</v>
      </c>
      <c r="C17" s="26" t="s">
        <v>29</v>
      </c>
      <c r="D17" s="26" t="s">
        <v>30</v>
      </c>
      <c r="E17" s="27">
        <f>VLOOKUP(B17,Invoice!$A:$E,5,0)</f>
        <v>732.68</v>
      </c>
      <c r="F17" s="28" t="s">
        <v>48</v>
      </c>
      <c r="G17" s="17">
        <v>732.68</v>
      </c>
    </row>
    <row r="18" spans="1:7" x14ac:dyDescent="0.25">
      <c r="A18" s="25">
        <v>43743</v>
      </c>
      <c r="B18" s="15">
        <v>519805</v>
      </c>
      <c r="C18" s="26" t="s">
        <v>31</v>
      </c>
      <c r="D18" s="26" t="s">
        <v>39</v>
      </c>
      <c r="E18" s="27">
        <f>VLOOKUP(B18,Invoice!$A:$E,5,0)</f>
        <v>654.70000000000005</v>
      </c>
      <c r="F18" s="28" t="s">
        <v>48</v>
      </c>
      <c r="G18" s="17">
        <v>654.70000000000005</v>
      </c>
    </row>
    <row r="19" spans="1:7" x14ac:dyDescent="0.25">
      <c r="A19" s="25">
        <v>43760</v>
      </c>
      <c r="B19" s="15">
        <v>520785</v>
      </c>
      <c r="C19" s="26" t="s">
        <v>29</v>
      </c>
      <c r="D19" s="26" t="s">
        <v>30</v>
      </c>
      <c r="E19" s="27">
        <f>VLOOKUP(B19,Invoice!$A:$E,5,0)</f>
        <v>1450.34</v>
      </c>
      <c r="F19" s="28" t="s">
        <v>44</v>
      </c>
      <c r="G19" s="17">
        <v>1305.306</v>
      </c>
    </row>
    <row r="20" spans="1:7" x14ac:dyDescent="0.25">
      <c r="A20" s="25">
        <v>43777</v>
      </c>
      <c r="B20" s="15">
        <v>522679</v>
      </c>
      <c r="C20" s="26" t="s">
        <v>29</v>
      </c>
      <c r="D20" s="26" t="s">
        <v>41</v>
      </c>
      <c r="E20" s="27">
        <f>VLOOKUP(B20,Invoice!$A:$E,5,0)</f>
        <v>1088.83</v>
      </c>
      <c r="F20" s="28" t="s">
        <v>44</v>
      </c>
      <c r="G20" s="17">
        <v>979.947</v>
      </c>
    </row>
    <row r="21" spans="1:7" x14ac:dyDescent="0.25">
      <c r="A21" s="25">
        <v>43794</v>
      </c>
      <c r="B21" s="15">
        <v>524375</v>
      </c>
      <c r="C21" s="26" t="s">
        <v>31</v>
      </c>
      <c r="D21" s="26" t="s">
        <v>32</v>
      </c>
      <c r="E21" s="27">
        <f>VLOOKUP(B21,Invoice!$A:$E,5,0)</f>
        <v>814.82</v>
      </c>
      <c r="F21" s="28" t="s">
        <v>48</v>
      </c>
      <c r="G21" s="17">
        <v>814.82</v>
      </c>
    </row>
    <row r="22" spans="1:7" x14ac:dyDescent="0.25">
      <c r="A22" s="25">
        <v>43811</v>
      </c>
      <c r="B22" s="29">
        <v>528759</v>
      </c>
      <c r="C22" s="26" t="s">
        <v>31</v>
      </c>
      <c r="D22" s="26" t="s">
        <v>42</v>
      </c>
      <c r="E22" s="27">
        <f>VLOOKUP(B22,Invoice!$A:$E,5,0)</f>
        <v>361.17</v>
      </c>
      <c r="F22" s="28" t="s">
        <v>48</v>
      </c>
      <c r="G22" s="17">
        <v>361.17</v>
      </c>
    </row>
    <row r="23" spans="1:7" x14ac:dyDescent="0.25">
      <c r="A23" s="25">
        <v>43828</v>
      </c>
      <c r="B23" s="15">
        <v>530087</v>
      </c>
      <c r="C23" s="26" t="s">
        <v>29</v>
      </c>
      <c r="D23" s="26" t="s">
        <v>41</v>
      </c>
      <c r="E23" s="27">
        <f>VLOOKUP(B23,Invoice!$A:$E,5,0)</f>
        <v>1762.25</v>
      </c>
      <c r="F23" s="28" t="s">
        <v>48</v>
      </c>
      <c r="G23" s="17">
        <v>1762.25</v>
      </c>
    </row>
    <row r="24" spans="1:7" x14ac:dyDescent="0.25">
      <c r="A24" s="25">
        <v>43845</v>
      </c>
      <c r="B24" s="15">
        <v>533486</v>
      </c>
      <c r="C24" s="26" t="s">
        <v>31</v>
      </c>
      <c r="D24" s="26" t="s">
        <v>34</v>
      </c>
      <c r="E24" s="27">
        <f>VLOOKUP(B24,Invoice!$A:$E,5,0)</f>
        <v>793.63000000000011</v>
      </c>
      <c r="F24" s="28" t="s">
        <v>48</v>
      </c>
      <c r="G24" s="17">
        <v>825.37520000000006</v>
      </c>
    </row>
    <row r="25" spans="1:7" x14ac:dyDescent="0.25">
      <c r="A25" s="25">
        <v>43862</v>
      </c>
      <c r="B25" s="15">
        <v>535357</v>
      </c>
      <c r="C25" s="26" t="s">
        <v>31</v>
      </c>
      <c r="D25" s="26" t="s">
        <v>42</v>
      </c>
      <c r="E25" s="27">
        <f>VLOOKUP(B25,Invoice!$A:$E,5,0)</f>
        <v>1839.98</v>
      </c>
      <c r="F25" s="28" t="s">
        <v>48</v>
      </c>
      <c r="G25" s="17">
        <v>1913.5792000000001</v>
      </c>
    </row>
    <row r="26" spans="1:7" x14ac:dyDescent="0.25">
      <c r="A26" s="25">
        <v>43879</v>
      </c>
      <c r="B26" s="15">
        <v>536894</v>
      </c>
      <c r="C26" s="26" t="s">
        <v>29</v>
      </c>
      <c r="D26" s="26" t="s">
        <v>30</v>
      </c>
      <c r="E26" s="27">
        <f>VLOOKUP(B26,Invoice!$A:$E,5,0)</f>
        <v>690.94</v>
      </c>
      <c r="F26" s="28" t="s">
        <v>44</v>
      </c>
      <c r="G26" s="17">
        <v>621.84600000000012</v>
      </c>
    </row>
    <row r="27" spans="1:7" x14ac:dyDescent="0.25">
      <c r="A27" s="25">
        <v>43897</v>
      </c>
      <c r="B27" s="15">
        <v>537659</v>
      </c>
      <c r="C27" s="26" t="s">
        <v>35</v>
      </c>
      <c r="D27" s="26" t="s">
        <v>36</v>
      </c>
      <c r="E27" s="27">
        <f>VLOOKUP(B27,Invoice!$A:$E,5,0)</f>
        <v>837.87</v>
      </c>
      <c r="F27" s="28" t="s">
        <v>44</v>
      </c>
      <c r="G27" s="17">
        <v>754.08299999999997</v>
      </c>
    </row>
    <row r="28" spans="1:7" x14ac:dyDescent="0.25">
      <c r="A28" s="25">
        <v>43914</v>
      </c>
      <c r="B28" s="15">
        <v>539750</v>
      </c>
      <c r="C28" s="26" t="s">
        <v>31</v>
      </c>
      <c r="D28" s="26" t="s">
        <v>33</v>
      </c>
      <c r="E28" s="27">
        <f>VLOOKUP(B28,Invoice!$A:$E,5,0)</f>
        <v>1256.48</v>
      </c>
      <c r="F28" s="28" t="s">
        <v>44</v>
      </c>
      <c r="G28" s="17">
        <v>1130.8320000000001</v>
      </c>
    </row>
    <row r="29" spans="1:7" x14ac:dyDescent="0.25">
      <c r="A29" s="25">
        <v>43931</v>
      </c>
      <c r="B29" s="15">
        <v>541376</v>
      </c>
      <c r="C29" s="26" t="s">
        <v>31</v>
      </c>
      <c r="D29" s="26" t="s">
        <v>37</v>
      </c>
      <c r="E29" s="27">
        <f>VLOOKUP(B29,Invoice!$A:$E,5,0)</f>
        <v>634.32000000000005</v>
      </c>
      <c r="F29" s="28" t="s">
        <v>48</v>
      </c>
      <c r="G29" s="17">
        <v>659.69280000000003</v>
      </c>
    </row>
    <row r="30" spans="1:7" x14ac:dyDescent="0.25">
      <c r="A30" s="25">
        <v>43948</v>
      </c>
      <c r="B30" s="15">
        <v>543674</v>
      </c>
      <c r="C30" s="26" t="s">
        <v>29</v>
      </c>
      <c r="D30" s="26" t="s">
        <v>40</v>
      </c>
      <c r="E30" s="27">
        <f>VLOOKUP(B30,Invoice!$A:$E,5,0)</f>
        <v>951.02</v>
      </c>
      <c r="F30" s="28" t="s">
        <v>48</v>
      </c>
      <c r="G30" s="17">
        <v>989.06079999999997</v>
      </c>
    </row>
    <row r="31" spans="1:7" x14ac:dyDescent="0.25">
      <c r="A31" s="25">
        <v>43965</v>
      </c>
      <c r="B31" s="15">
        <v>543899</v>
      </c>
      <c r="C31" s="26" t="s">
        <v>31</v>
      </c>
      <c r="D31" s="26" t="s">
        <v>34</v>
      </c>
      <c r="E31" s="27">
        <f>VLOOKUP(B31,Invoice!$A:$E,5,0)</f>
        <v>679.35</v>
      </c>
      <c r="F31" s="28" t="s">
        <v>44</v>
      </c>
      <c r="G31" s="17">
        <v>611.41500000000008</v>
      </c>
    </row>
    <row r="32" spans="1:7" x14ac:dyDescent="0.25">
      <c r="A32" s="25">
        <v>43982</v>
      </c>
      <c r="B32" s="15">
        <v>544783</v>
      </c>
      <c r="C32" s="26" t="s">
        <v>31</v>
      </c>
      <c r="D32" s="26" t="s">
        <v>34</v>
      </c>
      <c r="E32" s="27">
        <f>VLOOKUP(B32,Invoice!$A:$E,5,0)</f>
        <v>1327.18</v>
      </c>
      <c r="F32" s="28" t="s">
        <v>48</v>
      </c>
      <c r="G32" s="17">
        <v>1380.2672</v>
      </c>
    </row>
    <row r="33" spans="1:7" x14ac:dyDescent="0.25">
      <c r="A33" s="25">
        <v>43999</v>
      </c>
      <c r="B33" s="15">
        <v>546738</v>
      </c>
      <c r="C33" s="26" t="s">
        <v>31</v>
      </c>
      <c r="D33" s="26" t="s">
        <v>32</v>
      </c>
      <c r="E33" s="27">
        <f>VLOOKUP(B33,Invoice!$A:$E,5,0)</f>
        <v>1384.98</v>
      </c>
      <c r="F33" s="28" t="s">
        <v>44</v>
      </c>
      <c r="G33" s="17">
        <v>1246.482</v>
      </c>
    </row>
    <row r="34" spans="1:7" x14ac:dyDescent="0.25">
      <c r="A34" s="25">
        <v>44016</v>
      </c>
      <c r="B34" s="15">
        <v>548226</v>
      </c>
      <c r="C34" s="26" t="s">
        <v>29</v>
      </c>
      <c r="D34" s="26" t="s">
        <v>30</v>
      </c>
      <c r="E34" s="27">
        <f>VLOOKUP(B34,Invoice!$A:$E,5,0)</f>
        <v>1344.9099999999999</v>
      </c>
      <c r="F34" s="28" t="s">
        <v>44</v>
      </c>
      <c r="G34" s="17">
        <v>1210.4190000000001</v>
      </c>
    </row>
    <row r="35" spans="1:7" x14ac:dyDescent="0.25">
      <c r="A35" s="25">
        <v>44033</v>
      </c>
      <c r="B35" s="15">
        <v>549385</v>
      </c>
      <c r="C35" s="26" t="s">
        <v>31</v>
      </c>
      <c r="D35" s="26" t="s">
        <v>39</v>
      </c>
      <c r="E35" s="27">
        <f>VLOOKUP(B35,Invoice!$A:$E,5,0)</f>
        <v>1161.8900000000001</v>
      </c>
      <c r="F35" s="28" t="s">
        <v>48</v>
      </c>
      <c r="G35" s="17">
        <v>1208.3656000000001</v>
      </c>
    </row>
    <row r="36" spans="1:7" x14ac:dyDescent="0.25">
      <c r="A36" s="25">
        <v>44050</v>
      </c>
      <c r="B36" s="15">
        <v>550849</v>
      </c>
      <c r="C36" s="26" t="s">
        <v>31</v>
      </c>
      <c r="D36" s="26" t="s">
        <v>32</v>
      </c>
      <c r="E36" s="27">
        <f>VLOOKUP(B36,Invoice!$A:$E,5,0)</f>
        <v>1605.8799999999999</v>
      </c>
      <c r="F36" s="28" t="s">
        <v>48</v>
      </c>
      <c r="G36" s="17">
        <v>1670.1152000000002</v>
      </c>
    </row>
    <row r="37" spans="1:7" x14ac:dyDescent="0.25">
      <c r="A37" s="25">
        <v>44067</v>
      </c>
      <c r="B37" s="15">
        <v>551228</v>
      </c>
      <c r="C37" s="26" t="s">
        <v>35</v>
      </c>
      <c r="D37" s="26" t="s">
        <v>36</v>
      </c>
      <c r="E37" s="27">
        <f>VLOOKUP(B37,Invoice!$A:$E,5,0)</f>
        <v>1640.98</v>
      </c>
      <c r="F37" s="28" t="s">
        <v>44</v>
      </c>
      <c r="G37" s="17">
        <v>1476.8820000000001</v>
      </c>
    </row>
    <row r="38" spans="1:7" x14ac:dyDescent="0.25">
      <c r="A38" s="25">
        <v>44084</v>
      </c>
      <c r="B38" s="15">
        <v>553859</v>
      </c>
      <c r="C38" s="26" t="s">
        <v>31</v>
      </c>
      <c r="D38" s="26" t="s">
        <v>34</v>
      </c>
      <c r="E38" s="27">
        <f>VLOOKUP(B38,Invoice!$A:$E,5,0)</f>
        <v>762.02</v>
      </c>
      <c r="F38" s="28" t="s">
        <v>44</v>
      </c>
      <c r="G38" s="17">
        <v>685.81799999999998</v>
      </c>
    </row>
    <row r="39" spans="1:7" x14ac:dyDescent="0.25">
      <c r="A39" s="25">
        <v>44101</v>
      </c>
      <c r="B39" s="15">
        <v>554783</v>
      </c>
      <c r="C39" s="26" t="s">
        <v>35</v>
      </c>
      <c r="D39" s="26" t="s">
        <v>36</v>
      </c>
      <c r="E39" s="27">
        <f>VLOOKUP(B39,Invoice!$A:$E,5,0)</f>
        <v>670.02</v>
      </c>
      <c r="F39" s="28" t="s">
        <v>48</v>
      </c>
      <c r="G39" s="17">
        <v>696.82079999999996</v>
      </c>
    </row>
    <row r="40" spans="1:7" x14ac:dyDescent="0.25">
      <c r="A40" s="25">
        <v>44118</v>
      </c>
      <c r="B40" s="15">
        <v>555849</v>
      </c>
      <c r="C40" s="26" t="s">
        <v>35</v>
      </c>
      <c r="D40" s="26" t="s">
        <v>38</v>
      </c>
      <c r="E40" s="27">
        <f>VLOOKUP(B40,Invoice!$A:$E,5,0)</f>
        <v>2008.31</v>
      </c>
      <c r="F40" s="28" t="s">
        <v>44</v>
      </c>
      <c r="G40" s="17">
        <v>1807.479</v>
      </c>
    </row>
    <row r="41" spans="1:7" x14ac:dyDescent="0.25">
      <c r="A41" s="25">
        <v>44135</v>
      </c>
      <c r="B41" s="15">
        <v>557102</v>
      </c>
      <c r="C41" s="26" t="s">
        <v>31</v>
      </c>
      <c r="D41" s="26" t="s">
        <v>37</v>
      </c>
      <c r="E41" s="27">
        <f>VLOOKUP(B41,Invoice!$A:$E,5,0)</f>
        <v>568.04</v>
      </c>
      <c r="F41" s="28" t="s">
        <v>48</v>
      </c>
      <c r="G41" s="17">
        <v>590.76159999999993</v>
      </c>
    </row>
    <row r="42" spans="1:7" x14ac:dyDescent="0.25">
      <c r="A42" s="25">
        <v>44152</v>
      </c>
      <c r="B42" s="15">
        <v>557849</v>
      </c>
      <c r="C42" s="26" t="s">
        <v>31</v>
      </c>
      <c r="D42" s="26" t="s">
        <v>33</v>
      </c>
      <c r="E42" s="27">
        <f>VLOOKUP(B42,Invoice!$A:$E,5,0)</f>
        <v>638.87</v>
      </c>
      <c r="F42" s="28" t="s">
        <v>48</v>
      </c>
      <c r="G42" s="17">
        <v>664.4248</v>
      </c>
    </row>
    <row r="43" spans="1:7" x14ac:dyDescent="0.25">
      <c r="A43" s="25">
        <v>44169</v>
      </c>
      <c r="B43" s="15">
        <v>559304</v>
      </c>
      <c r="C43" s="26" t="s">
        <v>31</v>
      </c>
      <c r="D43" s="26" t="s">
        <v>33</v>
      </c>
      <c r="E43" s="27">
        <f>VLOOKUP(B43,Invoice!$A:$E,5,0)</f>
        <v>3240.05</v>
      </c>
      <c r="F43" s="28" t="s">
        <v>44</v>
      </c>
      <c r="G43" s="17">
        <v>2916.0450000000001</v>
      </c>
    </row>
    <row r="44" spans="1:7" x14ac:dyDescent="0.25">
      <c r="A44" s="25">
        <v>44186</v>
      </c>
      <c r="B44" s="15">
        <v>561790</v>
      </c>
      <c r="C44" s="26" t="s">
        <v>31</v>
      </c>
      <c r="D44" s="26" t="s">
        <v>37</v>
      </c>
      <c r="E44" s="27">
        <f>VLOOKUP(B44,Invoice!$A:$E,5,0)</f>
        <v>532.70000000000005</v>
      </c>
      <c r="F44" s="28" t="s">
        <v>48</v>
      </c>
      <c r="G44" s="17">
        <v>554.00800000000004</v>
      </c>
    </row>
    <row r="45" spans="1:7" x14ac:dyDescent="0.25">
      <c r="A45" s="13"/>
      <c r="B45" s="13"/>
      <c r="C45" s="13"/>
      <c r="D45" s="13"/>
      <c r="E45" s="18"/>
      <c r="F45" s="18"/>
      <c r="G45" s="13"/>
    </row>
    <row r="46" spans="1:7" x14ac:dyDescent="0.25">
      <c r="A46" s="13"/>
      <c r="B46" s="13"/>
      <c r="C46" s="13"/>
      <c r="D46" s="13"/>
      <c r="E46" s="18"/>
      <c r="F46" s="18"/>
      <c r="G46" s="13"/>
    </row>
    <row r="47" spans="1:7" x14ac:dyDescent="0.25">
      <c r="A47" s="13"/>
      <c r="B47" s="13"/>
      <c r="C47" s="13"/>
      <c r="D47" s="13"/>
      <c r="E47" s="18"/>
      <c r="F47" s="18"/>
      <c r="G47" s="13"/>
    </row>
    <row r="48" spans="1:7" x14ac:dyDescent="0.25">
      <c r="A48" s="13"/>
      <c r="B48" s="13"/>
      <c r="C48" s="13"/>
      <c r="D48" s="13"/>
      <c r="E48" s="18"/>
      <c r="F48" s="18"/>
      <c r="G48" s="13"/>
    </row>
    <row r="49" spans="1:7" x14ac:dyDescent="0.25">
      <c r="A49" s="13"/>
      <c r="B49" s="13"/>
      <c r="C49" s="13"/>
      <c r="D49" s="13"/>
      <c r="E49" s="18"/>
      <c r="F49" s="18"/>
      <c r="G49" s="13"/>
    </row>
    <row r="50" spans="1:7" x14ac:dyDescent="0.25">
      <c r="A50" s="13"/>
      <c r="B50" s="13"/>
      <c r="C50" s="13"/>
      <c r="D50" s="13"/>
      <c r="E50" s="18"/>
      <c r="F50" s="18"/>
      <c r="G50" s="13"/>
    </row>
    <row r="51" spans="1:7" x14ac:dyDescent="0.25">
      <c r="A51" s="13"/>
      <c r="B51" s="13"/>
      <c r="C51" s="13"/>
      <c r="D51" s="13"/>
      <c r="E51" s="18"/>
      <c r="F51" s="18"/>
      <c r="G51" s="13"/>
    </row>
    <row r="52" spans="1:7" x14ac:dyDescent="0.25">
      <c r="A52" s="13"/>
      <c r="B52" s="13"/>
      <c r="C52" s="13"/>
      <c r="D52" s="13"/>
      <c r="E52" s="18"/>
      <c r="F52" s="18"/>
      <c r="G52" s="13"/>
    </row>
    <row r="53" spans="1:7" x14ac:dyDescent="0.25">
      <c r="A53" s="13"/>
      <c r="B53" s="13"/>
      <c r="C53" s="13"/>
      <c r="D53" s="13"/>
      <c r="E53" s="18"/>
      <c r="F53" s="18"/>
      <c r="G53" s="13"/>
    </row>
    <row r="54" spans="1:7" x14ac:dyDescent="0.25">
      <c r="A54" s="13"/>
      <c r="B54" s="13"/>
      <c r="C54" s="13"/>
      <c r="D54" s="13"/>
      <c r="E54" s="18"/>
      <c r="F54" s="18"/>
      <c r="G54" s="13"/>
    </row>
    <row r="55" spans="1:7" x14ac:dyDescent="0.25">
      <c r="A55" s="13"/>
      <c r="B55" s="13"/>
      <c r="C55" s="13"/>
      <c r="D55" s="13"/>
      <c r="E55" s="18"/>
      <c r="F55" s="18"/>
      <c r="G55" s="13"/>
    </row>
    <row r="56" spans="1:7" x14ac:dyDescent="0.25">
      <c r="A56" s="13"/>
      <c r="B56" s="13"/>
      <c r="C56" s="13"/>
      <c r="D56" s="13"/>
      <c r="E56" s="18"/>
      <c r="F56" s="18"/>
      <c r="G56" s="13"/>
    </row>
    <row r="57" spans="1:7" x14ac:dyDescent="0.25">
      <c r="A57" s="13"/>
      <c r="B57" s="13"/>
      <c r="C57" s="13"/>
      <c r="D57" s="13"/>
      <c r="E57" s="18"/>
      <c r="F57" s="18"/>
      <c r="G57" s="13"/>
    </row>
    <row r="58" spans="1:7" x14ac:dyDescent="0.25">
      <c r="A58" s="13"/>
      <c r="B58" s="13"/>
      <c r="C58" s="13"/>
      <c r="D58" s="13"/>
      <c r="E58" s="18"/>
      <c r="F58" s="18"/>
      <c r="G58" s="13"/>
    </row>
    <row r="59" spans="1:7" x14ac:dyDescent="0.25">
      <c r="A59" s="13"/>
      <c r="B59" s="13"/>
      <c r="C59" s="13"/>
      <c r="D59" s="13"/>
      <c r="E59" s="18"/>
      <c r="F59" s="18"/>
      <c r="G59" s="13"/>
    </row>
    <row r="60" spans="1:7" x14ac:dyDescent="0.25">
      <c r="A60" s="13"/>
      <c r="B60" s="13"/>
      <c r="C60" s="13"/>
      <c r="D60" s="13"/>
      <c r="E60" s="18"/>
      <c r="F60" s="18"/>
      <c r="G60" s="13"/>
    </row>
    <row r="61" spans="1:7" x14ac:dyDescent="0.25">
      <c r="A61" s="13"/>
      <c r="B61" s="13"/>
      <c r="C61" s="13"/>
      <c r="D61" s="13"/>
      <c r="E61" s="18"/>
      <c r="F61" s="18"/>
      <c r="G61" s="13"/>
    </row>
    <row r="62" spans="1:7" x14ac:dyDescent="0.25">
      <c r="A62" s="13"/>
      <c r="B62" s="13"/>
      <c r="C62" s="13"/>
      <c r="D62" s="13"/>
      <c r="E62" s="18"/>
      <c r="F62" s="18"/>
      <c r="G62" s="13"/>
    </row>
    <row r="63" spans="1:7" x14ac:dyDescent="0.25">
      <c r="A63" s="13"/>
      <c r="B63" s="13"/>
      <c r="C63" s="13"/>
      <c r="D63" s="13"/>
      <c r="E63" s="18"/>
      <c r="F63" s="18"/>
      <c r="G63" s="13"/>
    </row>
    <row r="64" spans="1:7" x14ac:dyDescent="0.25">
      <c r="A64" s="13"/>
      <c r="B64" s="13"/>
      <c r="C64" s="13"/>
      <c r="D64" s="13"/>
      <c r="E64" s="18"/>
      <c r="F64" s="18"/>
      <c r="G64" s="13"/>
    </row>
    <row r="65" spans="1:7" x14ac:dyDescent="0.25">
      <c r="A65" s="13"/>
      <c r="B65" s="13"/>
      <c r="C65" s="13"/>
      <c r="D65" s="13"/>
      <c r="E65" s="18"/>
      <c r="F65" s="18"/>
      <c r="G65" s="13"/>
    </row>
    <row r="66" spans="1:7" x14ac:dyDescent="0.25">
      <c r="A66" s="13"/>
      <c r="B66" s="13"/>
      <c r="C66" s="13"/>
      <c r="D66" s="13"/>
      <c r="E66" s="18"/>
      <c r="F66" s="18"/>
      <c r="G66" s="13"/>
    </row>
    <row r="67" spans="1:7" x14ac:dyDescent="0.25">
      <c r="A67" s="13"/>
      <c r="B67" s="13"/>
      <c r="C67" s="13"/>
      <c r="D67" s="13"/>
      <c r="E67" s="18"/>
      <c r="F67" s="18"/>
      <c r="G67" s="13"/>
    </row>
    <row r="68" spans="1:7" x14ac:dyDescent="0.25">
      <c r="A68" s="13"/>
      <c r="B68" s="13"/>
      <c r="C68" s="13"/>
      <c r="D68" s="13"/>
      <c r="E68" s="18"/>
      <c r="F68" s="18"/>
      <c r="G68" s="13"/>
    </row>
    <row r="69" spans="1:7" x14ac:dyDescent="0.25">
      <c r="A69" s="13"/>
      <c r="B69" s="13"/>
      <c r="C69" s="13"/>
      <c r="D69" s="13"/>
      <c r="E69" s="18"/>
      <c r="F69" s="18"/>
      <c r="G69" s="13"/>
    </row>
    <row r="70" spans="1:7" x14ac:dyDescent="0.25">
      <c r="A70" s="13"/>
      <c r="B70" s="13"/>
      <c r="C70" s="13"/>
      <c r="D70" s="13"/>
      <c r="E70" s="18"/>
      <c r="F70" s="18"/>
      <c r="G70" s="13"/>
    </row>
    <row r="71" spans="1:7" x14ac:dyDescent="0.25">
      <c r="A71" s="13"/>
      <c r="B71" s="13"/>
      <c r="C71" s="13"/>
      <c r="D71" s="13"/>
      <c r="E71" s="18"/>
      <c r="F71" s="18"/>
      <c r="G71" s="13"/>
    </row>
    <row r="72" spans="1:7" x14ac:dyDescent="0.25">
      <c r="A72" s="13"/>
      <c r="B72" s="13"/>
      <c r="C72" s="13"/>
      <c r="D72" s="13"/>
      <c r="E72" s="18"/>
      <c r="F72" s="18"/>
      <c r="G72" s="13"/>
    </row>
    <row r="73" spans="1:7" x14ac:dyDescent="0.25">
      <c r="A73" s="13"/>
      <c r="B73" s="13"/>
      <c r="C73" s="13"/>
      <c r="D73" s="13"/>
      <c r="E73" s="18"/>
      <c r="F73" s="18"/>
      <c r="G73" s="13"/>
    </row>
    <row r="74" spans="1:7" x14ac:dyDescent="0.25">
      <c r="A74" s="13"/>
      <c r="B74" s="13"/>
      <c r="C74" s="13"/>
      <c r="D74" s="13"/>
      <c r="E74" s="18"/>
      <c r="F74" s="18"/>
      <c r="G74" s="13"/>
    </row>
    <row r="75" spans="1:7" x14ac:dyDescent="0.25">
      <c r="A75" s="13"/>
      <c r="B75" s="13"/>
      <c r="C75" s="13"/>
      <c r="D75" s="13"/>
      <c r="E75" s="18"/>
      <c r="F75" s="18"/>
      <c r="G75" s="13"/>
    </row>
    <row r="76" spans="1:7" x14ac:dyDescent="0.25">
      <c r="A76" s="13"/>
      <c r="B76" s="13"/>
      <c r="C76" s="13"/>
      <c r="D76" s="13"/>
      <c r="E76" s="18"/>
      <c r="F76" s="18"/>
      <c r="G76" s="13"/>
    </row>
    <row r="77" spans="1:7" x14ac:dyDescent="0.25">
      <c r="A77" s="13"/>
      <c r="B77" s="13"/>
      <c r="C77" s="13"/>
      <c r="D77" s="13"/>
      <c r="E77" s="18"/>
      <c r="F77" s="18"/>
      <c r="G77" s="13"/>
    </row>
    <row r="78" spans="1:7" x14ac:dyDescent="0.25">
      <c r="A78" s="13"/>
      <c r="B78" s="13"/>
      <c r="C78" s="13"/>
      <c r="D78" s="13"/>
      <c r="E78" s="18"/>
      <c r="F78" s="18"/>
      <c r="G78" s="13"/>
    </row>
    <row r="79" spans="1:7" x14ac:dyDescent="0.25">
      <c r="A79" s="13"/>
      <c r="B79" s="13"/>
      <c r="C79" s="13"/>
      <c r="D79" s="13"/>
      <c r="E79" s="18"/>
      <c r="F79" s="18"/>
      <c r="G79" s="13"/>
    </row>
    <row r="80" spans="1:7" x14ac:dyDescent="0.25">
      <c r="A80" s="13"/>
      <c r="B80" s="13"/>
      <c r="C80" s="13"/>
      <c r="D80" s="13"/>
      <c r="E80" s="18"/>
      <c r="F80" s="18"/>
      <c r="G80" s="13"/>
    </row>
    <row r="81" spans="1:7" x14ac:dyDescent="0.25">
      <c r="A81" s="13"/>
      <c r="B81" s="13"/>
      <c r="C81" s="13"/>
      <c r="D81" s="13"/>
      <c r="E81" s="18"/>
      <c r="F81" s="18"/>
      <c r="G81" s="13"/>
    </row>
    <row r="82" spans="1:7" x14ac:dyDescent="0.25">
      <c r="A82" s="13"/>
      <c r="B82" s="13"/>
      <c r="C82" s="13"/>
      <c r="D82" s="13"/>
      <c r="E82" s="18"/>
      <c r="F82" s="18"/>
      <c r="G82" s="13"/>
    </row>
    <row r="83" spans="1:7" x14ac:dyDescent="0.25">
      <c r="A83" s="13"/>
      <c r="B83" s="13"/>
      <c r="C83" s="13"/>
      <c r="D83" s="13"/>
      <c r="E83" s="18"/>
      <c r="F83" s="18"/>
      <c r="G83" s="13"/>
    </row>
    <row r="84" spans="1:7" x14ac:dyDescent="0.25">
      <c r="A84" s="13"/>
      <c r="B84" s="13"/>
      <c r="C84" s="13"/>
      <c r="D84" s="13"/>
      <c r="E84" s="18"/>
      <c r="F84" s="18"/>
      <c r="G84" s="13"/>
    </row>
    <row r="85" spans="1:7" x14ac:dyDescent="0.25">
      <c r="A85" s="13"/>
      <c r="B85" s="13"/>
      <c r="C85" s="13"/>
      <c r="D85" s="13"/>
      <c r="E85" s="18"/>
      <c r="F85" s="18"/>
      <c r="G85" s="13"/>
    </row>
    <row r="86" spans="1:7" x14ac:dyDescent="0.25">
      <c r="A86" s="13"/>
      <c r="B86" s="13"/>
      <c r="C86" s="13"/>
      <c r="D86" s="13"/>
      <c r="E86" s="18"/>
      <c r="F86" s="18"/>
      <c r="G86" s="13"/>
    </row>
    <row r="87" spans="1:7" x14ac:dyDescent="0.25">
      <c r="A87" s="13"/>
      <c r="B87" s="13"/>
      <c r="C87" s="13"/>
      <c r="D87" s="13"/>
      <c r="E87" s="18"/>
      <c r="F87" s="18"/>
      <c r="G87" s="13"/>
    </row>
    <row r="88" spans="1:7" x14ac:dyDescent="0.25">
      <c r="A88" s="13"/>
      <c r="B88" s="13"/>
      <c r="C88" s="13"/>
      <c r="D88" s="13"/>
      <c r="E88" s="18"/>
      <c r="F88" s="18"/>
      <c r="G88" s="13"/>
    </row>
    <row r="89" spans="1:7" x14ac:dyDescent="0.25">
      <c r="A89" s="13"/>
      <c r="B89" s="13"/>
      <c r="C89" s="13"/>
      <c r="D89" s="13"/>
      <c r="E89" s="18"/>
      <c r="F89" s="18"/>
      <c r="G89" s="13"/>
    </row>
    <row r="90" spans="1:7" x14ac:dyDescent="0.25">
      <c r="A90" s="13"/>
      <c r="B90" s="13"/>
      <c r="C90" s="13"/>
      <c r="D90" s="13"/>
      <c r="E90" s="18"/>
      <c r="F90" s="18"/>
      <c r="G90" s="13"/>
    </row>
    <row r="91" spans="1:7" x14ac:dyDescent="0.25">
      <c r="A91" s="13"/>
      <c r="B91" s="13"/>
      <c r="C91" s="13"/>
      <c r="D91" s="13"/>
      <c r="E91" s="18"/>
      <c r="F91" s="18"/>
      <c r="G91" s="13"/>
    </row>
    <row r="92" spans="1:7" x14ac:dyDescent="0.25">
      <c r="A92" s="13"/>
      <c r="B92" s="13"/>
      <c r="C92" s="13"/>
      <c r="D92" s="13"/>
      <c r="E92" s="18"/>
      <c r="F92" s="18"/>
      <c r="G92" s="13"/>
    </row>
    <row r="93" spans="1:7" x14ac:dyDescent="0.25">
      <c r="A93" s="13"/>
      <c r="B93" s="13"/>
      <c r="C93" s="13"/>
      <c r="D93" s="13"/>
      <c r="E93" s="18"/>
      <c r="F93" s="18"/>
      <c r="G93" s="13"/>
    </row>
    <row r="94" spans="1:7" x14ac:dyDescent="0.25">
      <c r="A94" s="13"/>
      <c r="B94" s="13"/>
      <c r="C94" s="13"/>
      <c r="D94" s="13"/>
      <c r="E94" s="18"/>
      <c r="F94" s="18"/>
      <c r="G94" s="13"/>
    </row>
    <row r="95" spans="1:7" x14ac:dyDescent="0.25">
      <c r="A95" s="13"/>
      <c r="B95" s="13"/>
      <c r="C95" s="13"/>
      <c r="D95" s="13"/>
      <c r="E95" s="18"/>
      <c r="F95" s="18"/>
      <c r="G95" s="13"/>
    </row>
    <row r="96" spans="1:7" x14ac:dyDescent="0.25">
      <c r="A96" s="13"/>
      <c r="B96" s="13"/>
      <c r="C96" s="13"/>
      <c r="D96" s="13"/>
      <c r="E96" s="18"/>
      <c r="F96" s="18"/>
      <c r="G96" s="13"/>
    </row>
    <row r="97" spans="1:7" x14ac:dyDescent="0.25">
      <c r="A97" s="13"/>
      <c r="B97" s="13"/>
      <c r="C97" s="13"/>
      <c r="D97" s="13"/>
      <c r="E97" s="18"/>
      <c r="F97" s="18"/>
      <c r="G97" s="13"/>
    </row>
    <row r="98" spans="1:7" x14ac:dyDescent="0.25">
      <c r="A98" s="13"/>
      <c r="B98" s="13"/>
      <c r="C98" s="13"/>
      <c r="D98" s="13"/>
      <c r="E98" s="18"/>
      <c r="F98" s="18"/>
      <c r="G98" s="13"/>
    </row>
    <row r="99" spans="1:7" x14ac:dyDescent="0.25">
      <c r="A99" s="13"/>
      <c r="B99" s="13"/>
      <c r="C99" s="13"/>
      <c r="D99" s="13"/>
      <c r="E99" s="18"/>
      <c r="F99" s="18"/>
      <c r="G99" s="13"/>
    </row>
    <row r="100" spans="1:7" x14ac:dyDescent="0.25">
      <c r="A100" s="13"/>
      <c r="B100" s="13"/>
      <c r="C100" s="13"/>
      <c r="D100" s="13"/>
      <c r="E100" s="18"/>
      <c r="F100" s="18"/>
      <c r="G100" s="13"/>
    </row>
    <row r="101" spans="1:7" x14ac:dyDescent="0.25">
      <c r="A101" s="13"/>
      <c r="B101" s="13"/>
      <c r="C101" s="13"/>
      <c r="D101" s="13"/>
      <c r="E101" s="18"/>
      <c r="F101" s="18"/>
      <c r="G101" s="13"/>
    </row>
    <row r="102" spans="1:7" x14ac:dyDescent="0.25">
      <c r="A102" s="13"/>
      <c r="B102" s="13"/>
      <c r="C102" s="13"/>
      <c r="D102" s="13"/>
      <c r="E102" s="18"/>
      <c r="F102" s="18"/>
      <c r="G102" s="13"/>
    </row>
    <row r="103" spans="1:7" x14ac:dyDescent="0.25">
      <c r="A103" s="13"/>
      <c r="B103" s="13"/>
      <c r="C103" s="13"/>
      <c r="D103" s="13"/>
      <c r="E103" s="18"/>
      <c r="F103" s="18"/>
      <c r="G103" s="13"/>
    </row>
    <row r="104" spans="1:7" x14ac:dyDescent="0.25">
      <c r="A104" s="13"/>
      <c r="B104" s="13"/>
      <c r="C104" s="13"/>
      <c r="D104" s="13"/>
      <c r="E104" s="18"/>
      <c r="F104" s="18"/>
      <c r="G104" s="13"/>
    </row>
    <row r="105" spans="1:7" x14ac:dyDescent="0.25">
      <c r="A105" s="13"/>
      <c r="B105" s="13"/>
      <c r="C105" s="13"/>
      <c r="D105" s="13"/>
      <c r="E105" s="18"/>
      <c r="F105" s="18"/>
      <c r="G105" s="13"/>
    </row>
    <row r="106" spans="1:7" x14ac:dyDescent="0.25">
      <c r="A106" s="13"/>
      <c r="B106" s="13"/>
      <c r="C106" s="13"/>
      <c r="D106" s="13"/>
      <c r="E106" s="18"/>
      <c r="F106" s="18"/>
      <c r="G106" s="13"/>
    </row>
    <row r="107" spans="1:7" x14ac:dyDescent="0.25">
      <c r="A107" s="13"/>
      <c r="B107" s="13"/>
      <c r="C107" s="13"/>
      <c r="D107" s="13"/>
      <c r="E107" s="18"/>
      <c r="F107" s="18"/>
      <c r="G107" s="13"/>
    </row>
    <row r="108" spans="1:7" x14ac:dyDescent="0.25">
      <c r="A108" s="13"/>
      <c r="B108" s="13"/>
      <c r="C108" s="13"/>
      <c r="D108" s="13"/>
      <c r="E108" s="18"/>
      <c r="F108" s="18"/>
      <c r="G108" s="13"/>
    </row>
    <row r="109" spans="1:7" x14ac:dyDescent="0.25">
      <c r="A109" s="13"/>
      <c r="B109" s="13"/>
      <c r="C109" s="13"/>
      <c r="D109" s="13"/>
      <c r="E109" s="18"/>
      <c r="F109" s="18"/>
      <c r="G109" s="13"/>
    </row>
    <row r="110" spans="1:7" x14ac:dyDescent="0.25">
      <c r="A110" s="13"/>
      <c r="B110" s="13"/>
      <c r="C110" s="13"/>
      <c r="D110" s="13"/>
      <c r="E110" s="18"/>
      <c r="F110" s="18"/>
      <c r="G110" s="13"/>
    </row>
    <row r="111" spans="1:7" x14ac:dyDescent="0.25">
      <c r="A111" s="13"/>
      <c r="B111" s="13"/>
      <c r="C111" s="13"/>
      <c r="D111" s="13"/>
      <c r="E111" s="18"/>
      <c r="F111" s="18"/>
      <c r="G111" s="13"/>
    </row>
    <row r="112" spans="1:7" x14ac:dyDescent="0.25">
      <c r="A112" s="13"/>
      <c r="B112" s="13"/>
      <c r="C112" s="13"/>
      <c r="D112" s="13"/>
      <c r="E112" s="18"/>
      <c r="F112" s="18"/>
      <c r="G112" s="13"/>
    </row>
    <row r="113" spans="1:7" x14ac:dyDescent="0.25">
      <c r="A113" s="13"/>
      <c r="B113" s="13"/>
      <c r="C113" s="13"/>
      <c r="D113" s="13"/>
      <c r="E113" s="18"/>
      <c r="F113" s="18"/>
      <c r="G113" s="13"/>
    </row>
    <row r="114" spans="1:7" x14ac:dyDescent="0.25">
      <c r="A114" s="13"/>
      <c r="B114" s="13"/>
      <c r="C114" s="13"/>
      <c r="D114" s="13"/>
      <c r="E114" s="18"/>
      <c r="F114" s="18"/>
      <c r="G114" s="13"/>
    </row>
    <row r="115" spans="1:7" x14ac:dyDescent="0.25">
      <c r="A115" s="13"/>
      <c r="B115" s="13"/>
      <c r="C115" s="13"/>
      <c r="D115" s="13"/>
      <c r="E115" s="18"/>
      <c r="F115" s="18"/>
      <c r="G115" s="13"/>
    </row>
    <row r="116" spans="1:7" x14ac:dyDescent="0.25">
      <c r="A116" s="13"/>
      <c r="B116" s="13"/>
      <c r="C116" s="13"/>
      <c r="D116" s="13"/>
      <c r="E116" s="18"/>
      <c r="F116" s="18"/>
      <c r="G116" s="13"/>
    </row>
    <row r="117" spans="1:7" x14ac:dyDescent="0.25">
      <c r="A117" s="13"/>
      <c r="B117" s="13"/>
      <c r="C117" s="13"/>
      <c r="D117" s="13"/>
      <c r="E117" s="18"/>
      <c r="F117" s="18"/>
      <c r="G117" s="13"/>
    </row>
    <row r="118" spans="1:7" x14ac:dyDescent="0.25">
      <c r="A118" s="13"/>
      <c r="B118" s="13"/>
      <c r="C118" s="13"/>
      <c r="D118" s="13"/>
      <c r="E118" s="18"/>
      <c r="F118" s="18"/>
      <c r="G118" s="13"/>
    </row>
    <row r="119" spans="1:7" x14ac:dyDescent="0.25">
      <c r="A119" s="13"/>
      <c r="B119" s="13"/>
      <c r="C119" s="13"/>
      <c r="D119" s="13"/>
      <c r="E119" s="18"/>
      <c r="F119" s="18"/>
      <c r="G119" s="13"/>
    </row>
    <row r="120" spans="1:7" x14ac:dyDescent="0.25">
      <c r="A120" s="13"/>
      <c r="B120" s="13"/>
      <c r="C120" s="13"/>
      <c r="D120" s="13"/>
      <c r="E120" s="18"/>
      <c r="F120" s="18"/>
      <c r="G120" s="13"/>
    </row>
    <row r="121" spans="1:7" x14ac:dyDescent="0.25">
      <c r="A121" s="13"/>
      <c r="B121" s="13"/>
      <c r="C121" s="13"/>
      <c r="D121" s="13"/>
      <c r="E121" s="18"/>
      <c r="F121" s="18"/>
      <c r="G121" s="13"/>
    </row>
    <row r="122" spans="1:7" x14ac:dyDescent="0.25">
      <c r="A122" s="13"/>
      <c r="B122" s="13"/>
      <c r="C122" s="13"/>
      <c r="D122" s="13"/>
      <c r="E122" s="18"/>
      <c r="F122" s="18"/>
      <c r="G122" s="13"/>
    </row>
    <row r="123" spans="1:7" x14ac:dyDescent="0.25">
      <c r="A123" s="13"/>
      <c r="B123" s="13"/>
      <c r="C123" s="13"/>
      <c r="D123" s="13"/>
      <c r="E123" s="18"/>
      <c r="F123" s="18"/>
      <c r="G123" s="13"/>
    </row>
    <row r="124" spans="1:7" x14ac:dyDescent="0.25">
      <c r="A124" s="13"/>
      <c r="B124" s="13"/>
      <c r="C124" s="13"/>
      <c r="D124" s="13"/>
      <c r="E124" s="18"/>
      <c r="F124" s="18"/>
      <c r="G124" s="13"/>
    </row>
    <row r="125" spans="1:7" x14ac:dyDescent="0.25">
      <c r="A125" s="13"/>
      <c r="B125" s="13"/>
      <c r="C125" s="13"/>
      <c r="D125" s="13"/>
      <c r="E125" s="18"/>
      <c r="F125" s="18"/>
      <c r="G125" s="13"/>
    </row>
    <row r="126" spans="1:7" x14ac:dyDescent="0.25">
      <c r="A126" s="13"/>
      <c r="B126" s="13"/>
      <c r="C126" s="13"/>
      <c r="D126" s="13"/>
      <c r="E126" s="18"/>
      <c r="F126" s="18"/>
      <c r="G126" s="13"/>
    </row>
    <row r="127" spans="1:7" x14ac:dyDescent="0.25">
      <c r="A127" s="13"/>
      <c r="B127" s="13"/>
      <c r="C127" s="13"/>
      <c r="D127" s="13"/>
      <c r="E127" s="18"/>
      <c r="F127" s="18"/>
      <c r="G127" s="13"/>
    </row>
    <row r="128" spans="1:7" x14ac:dyDescent="0.25">
      <c r="A128" s="13"/>
      <c r="B128" s="13"/>
      <c r="C128" s="13"/>
      <c r="D128" s="13"/>
      <c r="E128" s="18"/>
      <c r="F128" s="18"/>
      <c r="G128" s="13"/>
    </row>
    <row r="129" spans="1:7" x14ac:dyDescent="0.25">
      <c r="A129" s="13"/>
      <c r="B129" s="13"/>
      <c r="C129" s="13"/>
      <c r="D129" s="13"/>
      <c r="E129" s="18"/>
      <c r="F129" s="18"/>
      <c r="G129" s="13"/>
    </row>
    <row r="130" spans="1:7" x14ac:dyDescent="0.25">
      <c r="A130" s="13"/>
      <c r="B130" s="13"/>
      <c r="C130" s="13"/>
      <c r="D130" s="13"/>
      <c r="E130" s="18"/>
      <c r="F130" s="18"/>
      <c r="G130" s="13"/>
    </row>
    <row r="131" spans="1:7" x14ac:dyDescent="0.25">
      <c r="A131" s="13"/>
      <c r="B131" s="13"/>
      <c r="C131" s="13"/>
      <c r="D131" s="13"/>
      <c r="E131" s="18"/>
      <c r="F131" s="18"/>
      <c r="G131" s="13"/>
    </row>
    <row r="132" spans="1:7" x14ac:dyDescent="0.25">
      <c r="A132" s="13"/>
      <c r="B132" s="13"/>
      <c r="C132" s="13"/>
      <c r="D132" s="13"/>
      <c r="E132" s="18"/>
      <c r="F132" s="18"/>
      <c r="G132" s="13"/>
    </row>
    <row r="133" spans="1:7" x14ac:dyDescent="0.25">
      <c r="A133" s="13"/>
      <c r="B133" s="13"/>
      <c r="C133" s="13"/>
      <c r="D133" s="13"/>
      <c r="E133" s="18"/>
      <c r="F133" s="18"/>
      <c r="G133" s="13"/>
    </row>
    <row r="134" spans="1:7" x14ac:dyDescent="0.25">
      <c r="A134" s="13"/>
      <c r="B134" s="13"/>
      <c r="C134" s="13"/>
      <c r="D134" s="13"/>
      <c r="E134" s="18"/>
      <c r="F134" s="18"/>
      <c r="G134" s="13"/>
    </row>
    <row r="135" spans="1:7" x14ac:dyDescent="0.25">
      <c r="A135" s="13"/>
      <c r="B135" s="13"/>
      <c r="C135" s="13"/>
      <c r="D135" s="13"/>
      <c r="E135" s="18"/>
      <c r="F135" s="18"/>
      <c r="G135" s="13"/>
    </row>
    <row r="136" spans="1:7" x14ac:dyDescent="0.25">
      <c r="A136" s="13"/>
      <c r="B136" s="13"/>
      <c r="C136" s="13"/>
      <c r="D136" s="13"/>
      <c r="E136" s="18"/>
      <c r="F136" s="18"/>
      <c r="G13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Invoice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Danielson</dc:creator>
  <cp:lastModifiedBy>Robert Danielson</cp:lastModifiedBy>
  <dcterms:created xsi:type="dcterms:W3CDTF">2020-06-14T20:41:14Z</dcterms:created>
  <dcterms:modified xsi:type="dcterms:W3CDTF">2020-06-14T23:29:27Z</dcterms:modified>
</cp:coreProperties>
</file>